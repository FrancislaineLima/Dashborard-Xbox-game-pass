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\Downloads\"/>
    </mc:Choice>
  </mc:AlternateContent>
  <xr:revisionPtr revIDLastSave="0" documentId="13_ncr:1_{E0093D3B-B115-4828-BBA2-A03891FFE226}" xr6:coauthVersionLast="47" xr6:coauthVersionMax="47" xr10:uidLastSave="{00000000-0000-0000-0000-000000000000}"/>
  <bookViews>
    <workbookView xWindow="-120" yWindow="-120" windowWidth="29040" windowHeight="1584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  <definedName name="tabelas">C̳álculos!$B$23:$C$29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" i="3" l="1"/>
  <c r="E24" i="3"/>
</calcChain>
</file>

<file path=xl/sharedStrings.xml><?xml version="1.0" encoding="utf-8"?>
<sst xmlns="http://schemas.openxmlformats.org/spreadsheetml/2006/main" count="2025" uniqueCount="327">
  <si>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</si>
  <si>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</si>
  <si>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</si>
  <si>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</si>
  <si>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</si>
  <si>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</si>
  <si>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</si>
  <si>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</si>
  <si>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</si>
  <si>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</si>
  <si>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</si>
  <si>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</si>
  <si>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</si>
  <si>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</si>
  <si>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</si>
  <si>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</si>
  <si>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</si>
  <si>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</si>
  <si>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</si>
  <si>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</si>
  <si>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</si>
  <si>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</si>
  <si>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</si>
  <si>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</si>
  <si>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</si>
  <si>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</si>
  <si>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</si>
  <si>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</si>
  <si>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</si>
  <si>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</si>
  <si>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</si>
  <si>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</si>
  <si>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</si>
  <si>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</si>
  <si>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</si>
  <si>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</si>
  <si>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</si>
  <si>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</si>
  <si>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</si>
  <si>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</si>
  <si>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</si>
  <si>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</si>
  <si>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</si>
  <si>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</si>
  <si>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</si>
  <si>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</si>
  <si>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</si>
  <si>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</si>
  <si>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</si>
  <si>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</si>
  <si>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</si>
  <si>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</si>
  <si>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</si>
  <si>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</si>
  <si>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</si>
  <si>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</si>
  <si>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</si>
  <si>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</si>
  <si>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</si>
  <si>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</si>
  <si>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</si>
  <si>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</si>
  <si>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</si>
  <si>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</si>
  <si>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</si>
  <si>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</si>
  <si>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</si>
  <si>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</si>
  <si>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</si>
  <si>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</si>
  <si>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</si>
  <si>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</si>
  <si>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</si>
  <si>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</si>
  <si>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</si>
  <si>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</si>
  <si>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</si>
  <si>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</si>
  <si>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</si>
  <si>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</si>
  <si>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</si>
  <si>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</si>
  <si>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</si>
  <si>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</si>
  <si>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</si>
  <si>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</si>
  <si>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</si>
  <si>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</si>
  <si>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</si>
  <si>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</si>
  <si>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</si>
  <si>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</si>
  <si>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</si>
  <si>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</si>
  <si>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</si>
  <si>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</si>
  <si>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</si>
  <si>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</si>
  <si>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</si>
  <si>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</si>
  <si>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</si>
  <si>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</si>
  <si>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</si>
  <si>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</si>
  <si>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</si>
  <si>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</si>
  <si>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</si>
  <si>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</si>
  <si>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</si>
  <si>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</si>
  <si>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</si>
  <si>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</si>
  <si>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</si>
  <si>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</si>
  <si>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</si>
  <si>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</si>
  <si>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</si>
  <si>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</si>
  <si>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</si>
  <si>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</si>
  <si>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</si>
  <si>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</si>
  <si>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</si>
  <si>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</si>
  <si>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</si>
  <si>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</si>
  <si>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</si>
  <si>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</si>
  <si>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</si>
  <si>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</si>
  <si>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</si>
  <si>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</si>
  <si>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</si>
  <si>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</si>
  <si>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</si>
  <si>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</si>
  <si>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</si>
  <si>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</si>
  <si>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</si>
  <si>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</si>
  <si>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</si>
  <si>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</si>
  <si>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</si>
  <si>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</si>
  <si>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</si>
  <si>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</si>
  <si>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</si>
  <si>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</si>
  <si>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</si>
  <si>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</si>
  <si>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</si>
  <si>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</si>
  <si>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</si>
  <si>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</si>
  <si>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</si>
  <si>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</si>
  <si>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</si>
  <si>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</si>
  <si>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</si>
  <si>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</si>
  <si>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</si>
  <si>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</si>
  <si>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</si>
  <si>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</si>
  <si>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</si>
  <si>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</si>
  <si>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</si>
  <si>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</si>
  <si>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</si>
  <si>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</si>
  <si>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</si>
  <si>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</si>
  <si>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</si>
  <si>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</si>
  <si>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</si>
  <si>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</si>
  <si>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</si>
  <si>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</si>
  <si>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</si>
  <si>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</si>
  <si>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</si>
  <si>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</si>
  <si>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</si>
  <si>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</si>
  <si>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</si>
  <si>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</si>
  <si>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</si>
  <si>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</si>
  <si>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</si>
  <si>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</si>
  <si>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</si>
  <si>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</si>
  <si>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</si>
  <si>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</si>
  <si>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</si>
  <si>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</si>
  <si>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</si>
  <si>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</si>
  <si>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</si>
  <si>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</si>
  <si>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</si>
  <si>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</si>
  <si>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</si>
  <si>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</si>
  <si>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</si>
  <si>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</si>
  <si>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</si>
  <si>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</si>
  <si>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</si>
  <si>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</si>
  <si>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</si>
  <si>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</si>
  <si>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</si>
  <si>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</si>
  <si>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</si>
  <si>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</si>
  <si>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</si>
  <si>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</si>
  <si>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</si>
  <si>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</si>
  <si>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</si>
  <si>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</si>
  <si>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</si>
  <si>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</si>
  <si>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</si>
  <si>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</si>
  <si>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</si>
  <si>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</si>
  <si>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</si>
  <si>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</si>
  <si>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</si>
  <si>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</si>
  <si>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</si>
  <si>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</si>
  <si>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</si>
  <si>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</si>
  <si>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</si>
  <si>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</si>
  <si>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</si>
  <si>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</si>
  <si>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</si>
  <si>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</si>
  <si>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</si>
  <si>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</si>
  <si>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</si>
  <si>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</si>
  <si>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</si>
  <si>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</si>
  <si>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</si>
  <si>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</si>
  <si>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</si>
  <si>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</si>
  <si>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</si>
  <si>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</si>
  <si>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</si>
  <si>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</si>
  <si>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</si>
  <si>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</si>
  <si>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</si>
  <si>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</si>
  <si>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</si>
  <si>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</si>
  <si>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</si>
  <si>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</si>
  <si>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</si>
  <si>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</si>
  <si>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</si>
  <si>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</si>
  <si>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</si>
  <si>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</si>
  <si>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</si>
  <si>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</si>
  <si>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</si>
  <si>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</si>
  <si>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</si>
  <si>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</si>
  <si>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</si>
  <si>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</si>
  <si>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</si>
  <si>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</si>
  <si>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</si>
  <si>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</si>
  <si>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</si>
  <si>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</si>
  <si>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</si>
  <si>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</si>
  <si>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</si>
  <si>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</si>
  <si>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</si>
  <si>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</si>
  <si>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</si>
  <si>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</si>
  <si>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</si>
  <si>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</si>
  <si>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</si>
  <si>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</si>
  <si>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</si>
  <si>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</si>
  <si>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</si>
  <si>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</si>
  <si>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</si>
  <si>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</si>
  <si>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</si>
  <si>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</si>
  <si>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</si>
  <si>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</si>
  <si>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</si>
  <si>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</si>
  <si>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</si>
  <si>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</si>
  <si>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</si>
  <si>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</si>
  <si>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</si>
  <si>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 xml:space="preserve">É uma pergunta de negócio respondida atráves de alguma análise de dado específica </t>
  </si>
  <si>
    <t>Rótulos de Linha</t>
  </si>
  <si>
    <t>Total Geral</t>
  </si>
  <si>
    <t>Soma de Total Value</t>
  </si>
  <si>
    <r>
      <rPr>
        <b/>
        <sz val="11"/>
        <color theme="1"/>
        <rFont val="Verdana"/>
        <family val="2"/>
      </rPr>
      <t>Pergunta de Négocio 1</t>
    </r>
    <r>
      <rPr>
        <sz val="11"/>
        <color theme="1"/>
        <rFont val="Verdana"/>
        <family val="2"/>
      </rPr>
      <t>- Qual o faturamento</t>
    </r>
    <r>
      <rPr>
        <b/>
        <sz val="11"/>
        <color theme="1"/>
        <rFont val="Verdana"/>
        <family val="2"/>
      </rPr>
      <t xml:space="preserve"> Total de vendas de planos anuais.</t>
    </r>
  </si>
  <si>
    <r>
      <rPr>
        <b/>
        <sz val="11"/>
        <color theme="1"/>
        <rFont val="Verdana"/>
        <family val="2"/>
      </rPr>
      <t>Pergunta de Négocio 2</t>
    </r>
    <r>
      <rPr>
        <sz val="11"/>
        <color theme="1"/>
        <rFont val="Verdana"/>
        <family val="2"/>
      </rPr>
      <t xml:space="preserve">- Qual o faturamento </t>
    </r>
    <r>
      <rPr>
        <b/>
        <sz val="11"/>
        <color theme="1"/>
        <rFont val="Verdana"/>
        <family val="2"/>
      </rPr>
      <t>Total de vendas de planos anuais</t>
    </r>
    <r>
      <rPr>
        <sz val="11"/>
        <color theme="1"/>
        <rFont val="Verdana"/>
        <family val="2"/>
      </rPr>
      <t>, separado por auta renovação e por não auto renovação.</t>
    </r>
  </si>
  <si>
    <t xml:space="preserve"> </t>
  </si>
  <si>
    <t>(vazio)</t>
  </si>
  <si>
    <t>Soma de EA Play Season Pass</t>
  </si>
  <si>
    <t>(Tudo)</t>
  </si>
  <si>
    <r>
      <rPr>
        <b/>
        <sz val="11"/>
        <color theme="1"/>
        <rFont val="Aptos Narrow"/>
        <family val="2"/>
        <scheme val="minor"/>
      </rPr>
      <t>Pergunta de Négocio 3</t>
    </r>
    <r>
      <rPr>
        <sz val="11"/>
        <color theme="1"/>
        <rFont val="Aptos Narrow"/>
        <family val="2"/>
        <scheme val="minor"/>
      </rPr>
      <t>- Qual o faturamento</t>
    </r>
    <r>
      <rPr>
        <b/>
        <sz val="11"/>
        <color theme="1"/>
        <rFont val="Aptos Narrow"/>
        <family val="2"/>
        <scheme val="minor"/>
      </rPr>
      <t xml:space="preserve"> Total de  vendas</t>
    </r>
    <r>
      <rPr>
        <sz val="11"/>
        <color theme="1"/>
        <rFont val="Aptos Narrow"/>
        <family val="2"/>
        <scheme val="minor"/>
      </rPr>
      <t xml:space="preserve"> de assinaturas do</t>
    </r>
    <r>
      <rPr>
        <b/>
        <sz val="11"/>
        <color theme="1"/>
        <rFont val="Aptos Narrow"/>
        <family val="2"/>
        <scheme val="minor"/>
      </rPr>
      <t xml:space="preserve"> EA Play?</t>
    </r>
  </si>
  <si>
    <r>
      <rPr>
        <b/>
        <sz val="11"/>
        <color theme="1"/>
        <rFont val="Verdana"/>
        <family val="2"/>
      </rPr>
      <t>Pergunta de Négocio 4</t>
    </r>
    <r>
      <rPr>
        <sz val="11"/>
        <color theme="1"/>
        <rFont val="Verdana"/>
        <family val="2"/>
      </rPr>
      <t xml:space="preserve">- Qual o faturamento </t>
    </r>
    <r>
      <rPr>
        <b/>
        <sz val="11"/>
        <color theme="1"/>
        <rFont val="Verdana"/>
        <family val="2"/>
      </rPr>
      <t>Total de  vendas</t>
    </r>
    <r>
      <rPr>
        <sz val="11"/>
        <color theme="1"/>
        <rFont val="Verdana"/>
        <family val="2"/>
      </rPr>
      <t xml:space="preserve"> de assinaturas do </t>
    </r>
    <r>
      <rPr>
        <b/>
        <sz val="11"/>
        <color theme="1"/>
        <rFont val="Verdana"/>
        <family val="2"/>
      </rPr>
      <t>Minecraft Season Pass?</t>
    </r>
  </si>
  <si>
    <t>Soma de Minecraft Season Pass Price</t>
  </si>
  <si>
    <t xml:space="preserve">       XBOX 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</si>
</sst>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10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Verdana"/>
      <family val="2"/>
    </font>
    <font>
      <b/>
      <sz val="11"/>
      <color theme="1"/>
      <name val="Verdana"/>
      <family val="2"/>
    </font>
    <font>
      <sz val="14"/>
      <color theme="0"/>
      <name val="Arial Black"/>
      <family val="2"/>
    </font>
    <font>
      <b/>
      <sz val="16"/>
      <color rgb="FFB2B2B2"/>
      <name val="Arial Black"/>
      <family val="2"/>
    </font>
    <font>
      <b/>
      <sz val="16"/>
      <color rgb="FF22C55E"/>
      <name val="Arial Black"/>
      <family val="2"/>
    </font>
  </fonts>
  <fills count="12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34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9" borderId="0" xfId="0" applyFont="1" applyFill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5" fillId="0" borderId="0" xfId="0" pivotButton="1" applyFont="1"/>
    <xf numFmtId="164" fontId="5" fillId="0" borderId="0" xfId="0" applyNumberFormat="1" applyFont="1"/>
    <xf numFmtId="0" fontId="5" fillId="0" borderId="0" xfId="0" applyFont="1" applyAlignment="1">
      <alignment horizontal="left"/>
    </xf>
    <xf numFmtId="0" fontId="7" fillId="4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5" fillId="8" borderId="0" xfId="0" applyFont="1" applyFill="1" applyAlignment="1">
      <alignment horizontal="left" vertical="center"/>
    </xf>
    <xf numFmtId="0" fontId="5" fillId="9" borderId="0" xfId="0" applyFont="1" applyFill="1" applyAlignment="1">
      <alignment horizontal="left" vertical="center"/>
    </xf>
    <xf numFmtId="0" fontId="0" fillId="10" borderId="0" xfId="0" applyFill="1"/>
    <xf numFmtId="0" fontId="0" fillId="11" borderId="0" xfId="0" applyFill="1"/>
    <xf numFmtId="0" fontId="0" fillId="11" borderId="0" xfId="0" applyFill="1" applyAlignment="1">
      <alignment horizontal="center" vertical="center"/>
    </xf>
    <xf numFmtId="164" fontId="0" fillId="0" borderId="0" xfId="0" applyNumberFormat="1"/>
    <xf numFmtId="0" fontId="0" fillId="11" borderId="0" xfId="0" applyFill="1" applyAlignment="1">
      <alignment horizontal="left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5" fillId="0" borderId="0" xfId="0" applyNumberFormat="1" applyFont="1"/>
    <xf numFmtId="0" fontId="0" fillId="9" borderId="0" xfId="0" applyFill="1" applyAlignment="1">
      <alignment horizontal="left"/>
    </xf>
    <xf numFmtId="0" fontId="5" fillId="9" borderId="0" xfId="0" applyFont="1" applyFill="1" applyAlignment="1">
      <alignment horizontal="left"/>
    </xf>
  </cellXfs>
  <cellStyles count="3">
    <cellStyle name="Moeda" xfId="2" builtinId="4"/>
    <cellStyle name="Normal" xfId="0" builtinId="0"/>
    <cellStyle name="Título 1" xfId="1" builtinId="16"/>
  </cellStyles>
  <dxfs count="392">
    <dxf>
      <numFmt numFmtId="164" formatCode="&quot;R$&quot;\ #,##0.00"/>
    </dxf>
    <dxf>
      <numFmt numFmtId="164" formatCode="&quot;R$&quot;\ #,##0.00"/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numFmt numFmtId="0" formatCode="General"/>
    </dxf>
    <dxf>
      <numFmt numFmtId="164" formatCode="&quot;R$&quot;\ #,##0.00"/>
    </dxf>
    <dxf>
      <numFmt numFmtId="164" formatCode="&quot;R$&quot;\ #,##0.00"/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numFmt numFmtId="164" formatCode="&quot;R$&quot;\ #,##0.00"/>
    </dxf>
    <dxf>
      <numFmt numFmtId="164" formatCode="&quot;R$&quot;\ #,##0.00"/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numFmt numFmtId="0" formatCode="General"/>
    </dxf>
    <dxf>
      <numFmt numFmtId="164" formatCode="&quot;R$&quot;\ #,##0.00"/>
    </dxf>
    <dxf>
      <numFmt numFmtId="164" formatCode="&quot;R$&quot;\ #,##0.00"/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numFmt numFmtId="164" formatCode="&quot;R$&quot;\ #,##0.00"/>
    </dxf>
    <dxf>
      <numFmt numFmtId="164" formatCode="&quot;R$&quot;\ #,##0.00"/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numFmt numFmtId="0" formatCode="General"/>
    </dxf>
    <dxf>
      <numFmt numFmtId="164" formatCode="&quot;R$&quot;\ #,##0.00"/>
    </dxf>
    <dxf>
      <numFmt numFmtId="164" formatCode="&quot;R$&quot;\ #,##0.00"/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numFmt numFmtId="164" formatCode="&quot;R$&quot;\ #,##0.00"/>
    </dxf>
    <dxf>
      <numFmt numFmtId="164" formatCode="&quot;R$&quot;\ #,##0.00"/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numFmt numFmtId="0" formatCode="General"/>
    </dxf>
    <dxf>
      <numFmt numFmtId="164" formatCode="&quot;R$&quot;\ #,##0.00"/>
    </dxf>
    <dxf>
      <numFmt numFmtId="164" formatCode="&quot;R$&quot;\ #,##0.00"/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numFmt numFmtId="164" formatCode="&quot;R$&quot;\ #,##0.00"/>
    </dxf>
    <dxf>
      <numFmt numFmtId="164" formatCode="&quot;R$&quot;\ #,##0.00"/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numFmt numFmtId="0" formatCode="General"/>
    </dxf>
    <dxf>
      <numFmt numFmtId="164" formatCode="&quot;R$&quot;\ #,##0.00"/>
    </dxf>
    <dxf>
      <numFmt numFmtId="164" formatCode="&quot;R$&quot;\ #,##0.00"/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numFmt numFmtId="164" formatCode="&quot;R$&quot;\ #,##0.00"/>
    </dxf>
    <dxf>
      <numFmt numFmtId="164" formatCode="&quot;R$&quot;\ #,##0.00"/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numFmt numFmtId="0" formatCode="General"/>
    </dxf>
    <dxf>
      <numFmt numFmtId="164" formatCode="&quot;R$&quot;\ #,##0.00"/>
    </dxf>
    <dxf>
      <numFmt numFmtId="164" formatCode="&quot;R$&quot;\ #,##0.00"/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numFmt numFmtId="164" formatCode="&quot;R$&quot;\ #,##0.00"/>
    </dxf>
    <dxf>
      <numFmt numFmtId="164" formatCode="&quot;R$&quot;\ #,##0.00"/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numFmt numFmtId="0" formatCode="General"/>
    </dxf>
    <dxf>
      <numFmt numFmtId="164" formatCode="&quot;R$&quot;\ #,##0.00"/>
    </dxf>
    <dxf>
      <numFmt numFmtId="164" formatCode="&quot;R$&quot;\ #,##0.00"/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numFmt numFmtId="164" formatCode="&quot;R$&quot;\ #,##0.00"/>
    </dxf>
    <dxf>
      <numFmt numFmtId="164" formatCode="&quot;R$&quot;\ #,##0.00"/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numFmt numFmtId="0" formatCode="General"/>
    </dxf>
    <dxf>
      <numFmt numFmtId="164" formatCode="&quot;R$&quot;\ #,##0.00"/>
    </dxf>
    <dxf>
      <numFmt numFmtId="164" formatCode="&quot;R$&quot;\ #,##0.00"/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numFmt numFmtId="164" formatCode="&quot;R$&quot;\ #,##0.00"/>
    </dxf>
    <dxf>
      <numFmt numFmtId="164" formatCode="&quot;R$&quot;\ #,##0.00"/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numFmt numFmtId="0" formatCode="General"/>
    </dxf>
    <dxf>
      <numFmt numFmtId="164" formatCode="&quot;R$&quot;\ #,##0.00"/>
    </dxf>
    <dxf>
      <numFmt numFmtId="164" formatCode="&quot;R$&quot;\ #,##0.00"/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numFmt numFmtId="164" formatCode="&quot;R$&quot;\ #,##0.00"/>
    </dxf>
    <dxf>
      <numFmt numFmtId="164" formatCode="&quot;R$&quot;\ #,##0.00"/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numFmt numFmtId="0" formatCode="General"/>
    </dxf>
    <dxf>
      <numFmt numFmtId="164" formatCode="&quot;R$&quot;\ #,##0.00"/>
    </dxf>
    <dxf>
      <numFmt numFmtId="164" formatCode="&quot;R$&quot;\ #,##0.00"/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numFmt numFmtId="164" formatCode="&quot;R$&quot;\ #,##0.00"/>
    </dxf>
    <dxf>
      <numFmt numFmtId="164" formatCode="&quot;R$&quot;\ #,##0.00"/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numFmt numFmtId="0" formatCode="General"/>
    </dxf>
    <dxf>
      <numFmt numFmtId="164" formatCode="&quot;R$&quot;\ #,##0.00"/>
    </dxf>
    <dxf>
      <numFmt numFmtId="164" formatCode="&quot;R$&quot;\ #,##0.00"/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numFmt numFmtId="164" formatCode="&quot;R$&quot;\ #,##0.00"/>
    </dxf>
    <dxf>
      <numFmt numFmtId="164" formatCode="&quot;R$&quot;\ #,##0.00"/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numFmt numFmtId="0" formatCode="General"/>
    </dxf>
    <dxf>
      <numFmt numFmtId="164" formatCode="&quot;R$&quot;\ #,##0.00"/>
    </dxf>
    <dxf>
      <numFmt numFmtId="164" formatCode="&quot;R$&quot;\ #,##0.00"/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numFmt numFmtId="164" formatCode="&quot;R$&quot;\ #,##0.00"/>
    </dxf>
    <dxf>
      <numFmt numFmtId="164" formatCode="&quot;R$&quot;\ #,##0.00"/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numFmt numFmtId="0" formatCode="General"/>
    </dxf>
    <dxf>
      <numFmt numFmtId="164" formatCode="&quot;R$&quot;\ #,##0.00"/>
    </dxf>
    <dxf>
      <numFmt numFmtId="164" formatCode="&quot;R$&quot;\ #,##0.00"/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numFmt numFmtId="164" formatCode="&quot;R$&quot;\ #,##0.00"/>
    </dxf>
    <dxf>
      <numFmt numFmtId="164" formatCode="&quot;R$&quot;\ #,##0.00"/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numFmt numFmtId="0" formatCode="General"/>
    </dxf>
    <dxf>
      <numFmt numFmtId="164" formatCode="&quot;R$&quot;\ #,##0.00"/>
    </dxf>
    <dxf>
      <numFmt numFmtId="164" formatCode="&quot;R$&quot;\ #,##0.00"/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numFmt numFmtId="0" formatCode="General"/>
    </dxf>
    <dxf>
      <numFmt numFmtId="164" formatCode="&quot;R$&quot;\ #,##0.00"/>
    </dxf>
    <dxf>
      <numFmt numFmtId="164" formatCode="&quot;R$&quot;\ #,##0.00"/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b/>
        <i val="0"/>
        <strike val="0"/>
        <color theme="0"/>
      </font>
      <fill>
        <patternFill>
          <bgColor theme="9" tint="0.39994506668294322"/>
        </patternFill>
      </fill>
    </dxf>
    <dxf>
      <fill>
        <patternFill patternType="solid">
          <fgColor rgb="FF22C55E"/>
          <bgColor rgb="FF22C55E"/>
        </patternFill>
      </fill>
      <border diagonalUp="0" diagonalDown="0">
        <left/>
        <right/>
        <top/>
        <bottom/>
        <vertical/>
        <horizontal/>
      </border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numFmt numFmtId="164" formatCode="&quot;R$&quot;\ #,##0.00"/>
    </dxf>
    <dxf>
      <numFmt numFmtId="164" formatCode="&quot;R$&quot;\ #,##0.0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solid">
          <fgColor theme="9" tint="0.79998168889431442"/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Estilo de Segmentação de Dados 1" pivot="0" table="0" count="6" xr9:uid="{B7FA25D8-0266-49E0-BFBD-9E8BCDAAF47C}">
      <tableStyleElement type="wholeTable" dxfId="368"/>
      <tableStyleElement type="headerRow" dxfId="367"/>
    </tableStyle>
    <tableStyle name="Estilo de Segmentação de Dados 1 2" pivot="0" table="0" count="1" xr9:uid="{7C45635E-035A-4345-B8B6-27E0B5259958}">
      <tableStyleElement type="wholeTable" dxfId="391"/>
    </tableStyle>
  </tableStyles>
  <colors>
    <mruColors>
      <color rgb="FF22C55E"/>
      <color rgb="FFB2B2B2"/>
      <color rgb="FF5BF6A8"/>
      <color rgb="FFE8E6E9"/>
      <color rgb="FF000000"/>
      <color rgb="FFE0E0E0"/>
      <color rgb="FFEDEDED"/>
      <color rgb="FFF7F8FC"/>
      <color rgb="FF2AE6B1"/>
      <color rgb="FF9BC848"/>
    </mruColors>
  </colors>
  <extLst>
    <ext xmlns:x14="http://schemas.microsoft.com/office/spreadsheetml/2009/9/main" uri="{46F421CA-312F-682f-3DD2-61675219B42D}">
      <x14:dxfs count="4">
        <dxf>
          <fill>
            <patternFill>
              <bgColor theme="9" tint="0.59996337778862885"/>
            </patternFill>
          </fill>
        </dxf>
        <dxf>
          <fill>
            <patternFill>
              <bgColor theme="9" tint="0.79998168889431442"/>
            </patternFill>
          </fill>
        </dxf>
        <dxf>
          <fill>
            <patternFill>
              <bgColor theme="9" tint="0.59996337778862885"/>
            </patternFill>
          </fill>
        </dxf>
        <dxf>
          <fill>
            <patternFill>
              <bgColor theme="9" tint="0.59996337778862885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unselectedItemWithData" dxfId="3"/>
            <x14:slicerStyleElement type="unselectedItemWithNoData" dxfId="2"/>
            <x14:slicerStyleElement type="selectedItemWithData" dxfId="1"/>
            <x14:slicerStyleElement type="selectedItemWithNoData" dxfId="0"/>
          </x14:slicerStyleElements>
        </x14:slicerStyle>
        <x14:slicerStyle name="Estilo de Segmentação de Dados 1 2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[805d54f9-6d53-4246-bed7-4aa2da615923.xlsx]C̳álculos!Tabela dinâmica1</c:name>
    <c:fmtId val="8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noFill/>
          </a:ln>
          <a:effectLst/>
        </c:spPr>
      </c:pivotFmt>
      <c:pivotFmt>
        <c:idx val="2"/>
        <c:spPr>
          <a:solidFill>
            <a:srgbClr val="22C55E"/>
          </a:solidFill>
          <a:ln>
            <a:noFill/>
          </a:ln>
          <a:effectLst/>
        </c:spPr>
      </c:pivotFmt>
      <c:pivotFmt>
        <c:idx val="3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</c:spPr>
      </c:pivotFmt>
      <c:pivotFmt>
        <c:idx val="5"/>
        <c:spPr>
          <a:solidFill>
            <a:srgbClr val="22C55E"/>
          </a:solidFill>
          <a:ln>
            <a:noFill/>
          </a:ln>
          <a:effectLst/>
        </c:spPr>
      </c:pivotFmt>
      <c:pivotFmt>
        <c:idx val="6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2C55E"/>
          </a:solidFill>
          <a:ln>
            <a:noFill/>
          </a:ln>
          <a:effectLst/>
        </c:spPr>
      </c:pivotFmt>
      <c:pivotFmt>
        <c:idx val="8"/>
        <c:spPr>
          <a:solidFill>
            <a:srgbClr val="22C55E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7.1787607453589655E-2"/>
          <c:y val="1.7940862243109583E-2"/>
          <c:w val="0.9272092652228201"/>
          <c:h val="0.972432405975969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D04-4CBB-8861-22FEA6CB61CD}"/>
              </c:ext>
            </c:extLst>
          </c:dPt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D04-4CBB-8861-22FEA6CB61C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C̳álculos!$B$14:$B$16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C̳álculos!$C$14:$C$16</c:f>
              <c:numCache>
                <c:formatCode>"R$"\ #,##0.00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04-4CBB-8861-22FEA6CB61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8630320"/>
        <c:axId val="751989632"/>
      </c:barChart>
      <c:catAx>
        <c:axId val="598630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51989632"/>
        <c:crosses val="autoZero"/>
        <c:auto val="1"/>
        <c:lblAlgn val="ctr"/>
        <c:lblOffset val="100"/>
        <c:noMultiLvlLbl val="0"/>
      </c:catAx>
      <c:valAx>
        <c:axId val="751989632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598630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chart" Target="../charts/chart1.xml"/><Relationship Id="rId1" Type="http://schemas.openxmlformats.org/officeDocument/2006/relationships/image" Target="../media/image11.png"/><Relationship Id="rId6" Type="http://schemas.openxmlformats.org/officeDocument/2006/relationships/image" Target="../media/image7.png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142874</xdr:rowOff>
    </xdr:from>
    <xdr:to>
      <xdr:col>0</xdr:col>
      <xdr:colOff>2612571</xdr:colOff>
      <xdr:row>5</xdr:row>
      <xdr:rowOff>190499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C0326F2-AFC7-468E-9F97-424C6E0DD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2874"/>
          <a:ext cx="2612571" cy="1000125"/>
        </a:xfrm>
        <a:prstGeom prst="rect">
          <a:avLst/>
        </a:prstGeom>
      </xdr:spPr>
    </xdr:pic>
    <xdr:clientData/>
  </xdr:twoCellAnchor>
  <xdr:twoCellAnchor editAs="oneCell">
    <xdr:from>
      <xdr:col>0</xdr:col>
      <xdr:colOff>213632</xdr:colOff>
      <xdr:row>7</xdr:row>
      <xdr:rowOff>190498</xdr:rowOff>
    </xdr:from>
    <xdr:to>
      <xdr:col>0</xdr:col>
      <xdr:colOff>2354036</xdr:colOff>
      <xdr:row>16</xdr:row>
      <xdr:rowOff>13607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ubscription Type">
              <a:extLst>
                <a:ext uri="{FF2B5EF4-FFF2-40B4-BE49-F238E27FC236}">
                  <a16:creationId xmlns:a16="http://schemas.microsoft.com/office/drawing/2014/main" id="{98C68B43-BC5C-4883-A43C-B4C4B1086A9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3632" y="1523998"/>
              <a:ext cx="2140404" cy="153760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517071</xdr:colOff>
      <xdr:row>2</xdr:row>
      <xdr:rowOff>28575</xdr:rowOff>
    </xdr:from>
    <xdr:to>
      <xdr:col>13</xdr:col>
      <xdr:colOff>381000</xdr:colOff>
      <xdr:row>2</xdr:row>
      <xdr:rowOff>41223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36D4EF24-A56C-9090-2C19-E439BD1AC649}"/>
            </a:ext>
          </a:extLst>
        </xdr:cNvPr>
        <xdr:cNvCxnSpPr/>
      </xdr:nvCxnSpPr>
      <xdr:spPr>
        <a:xfrm flipV="1">
          <a:off x="3170464" y="409575"/>
          <a:ext cx="11144250" cy="12648"/>
        </a:xfrm>
        <a:prstGeom prst="line">
          <a:avLst/>
        </a:prstGeom>
        <a:ln w="38100">
          <a:solidFill>
            <a:srgbClr val="22C55E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503464</xdr:colOff>
      <xdr:row>6</xdr:row>
      <xdr:rowOff>30617</xdr:rowOff>
    </xdr:from>
    <xdr:to>
      <xdr:col>7</xdr:col>
      <xdr:colOff>81643</xdr:colOff>
      <xdr:row>17</xdr:row>
      <xdr:rowOff>17010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88A5608C-20AA-19BE-27F3-77CD762B6EC3}"/>
            </a:ext>
          </a:extLst>
        </xdr:cNvPr>
        <xdr:cNvGrpSpPr/>
      </xdr:nvGrpSpPr>
      <xdr:grpSpPr>
        <a:xfrm>
          <a:off x="3151414" y="1173617"/>
          <a:ext cx="5293179" cy="2081893"/>
          <a:chOff x="3156857" y="993321"/>
          <a:chExt cx="5306786" cy="2081893"/>
        </a:xfrm>
      </xdr:grpSpPr>
      <xdr:grpSp>
        <xdr:nvGrpSpPr>
          <xdr:cNvPr id="16" name="Agrupar 15">
            <a:extLst>
              <a:ext uri="{FF2B5EF4-FFF2-40B4-BE49-F238E27FC236}">
                <a16:creationId xmlns:a16="http://schemas.microsoft.com/office/drawing/2014/main" id="{B3D47AD9-C042-B6DE-79E4-E62EFEFE5181}"/>
              </a:ext>
            </a:extLst>
          </xdr:cNvPr>
          <xdr:cNvGrpSpPr/>
        </xdr:nvGrpSpPr>
        <xdr:grpSpPr>
          <a:xfrm>
            <a:off x="3156857" y="1197428"/>
            <a:ext cx="5306786" cy="1877786"/>
            <a:chOff x="12790714" y="2041071"/>
            <a:chExt cx="3918857" cy="1877786"/>
          </a:xfrm>
        </xdr:grpSpPr>
        <xdr:sp macro="" textlink="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8372D3BD-3678-0ACF-831E-9A44C4B3D9F1}"/>
                </a:ext>
              </a:extLst>
            </xdr:cNvPr>
            <xdr:cNvSpPr/>
          </xdr:nvSpPr>
          <xdr:spPr>
            <a:xfrm>
              <a:off x="12790714" y="2041071"/>
              <a:ext cx="3918857" cy="1877786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800"/>
            </a:p>
          </xdr:txBody>
        </xdr:sp>
        <xdr:sp macro="" textlink="C̳álculos!E24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F7B331FD-7375-A398-ABE7-F9D1E46E8A6A}"/>
                </a:ext>
              </a:extLst>
            </xdr:cNvPr>
            <xdr:cNvSpPr/>
          </xdr:nvSpPr>
          <xdr:spPr>
            <a:xfrm>
              <a:off x="15222415" y="2666999"/>
              <a:ext cx="1336430" cy="898071"/>
            </a:xfrm>
            <a:prstGeom prst="round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87327FE-11A9-4312-89C3-1B5CD1CC9AD6}" type="TxLink">
                <a:rPr lang="en-US" sz="1800" b="1" i="0" u="none" strike="noStrike">
                  <a:solidFill>
                    <a:schemeClr val="bg1"/>
                  </a:solidFill>
                  <a:latin typeface="Arial Black" panose="020B0A04020102020204" pitchFamily="34" charset="0"/>
                </a:rPr>
                <a:pPr algn="ctr"/>
                <a:t>R$ 2.940,00</a:t>
              </a:fld>
              <a:endParaRPr lang="pt-BR" sz="1800" b="1">
                <a:solidFill>
                  <a:schemeClr val="bg1"/>
                </a:solidFill>
                <a:latin typeface="Arial Black" panose="020B0A04020102020204" pitchFamily="34" charset="0"/>
              </a:endParaRPr>
            </a:p>
          </xdr:txBody>
        </xdr:sp>
      </xdr:grpSp>
      <xdr:sp macro="" textlink="">
        <xdr:nvSpPr>
          <xdr:cNvPr id="17" name="Retângulo: Cantos Superiores Arredondados 16">
            <a:extLst>
              <a:ext uri="{FF2B5EF4-FFF2-40B4-BE49-F238E27FC236}">
                <a16:creationId xmlns:a16="http://schemas.microsoft.com/office/drawing/2014/main" id="{DBF42F6C-41ED-6317-7AE2-33E43F1D7A21}"/>
              </a:ext>
            </a:extLst>
          </xdr:cNvPr>
          <xdr:cNvSpPr/>
        </xdr:nvSpPr>
        <xdr:spPr>
          <a:xfrm>
            <a:off x="3156857" y="993321"/>
            <a:ext cx="5306786" cy="517072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latin typeface="Arial Black" panose="020B0A04020102020204" pitchFamily="34" charset="0"/>
              </a:rPr>
              <a:t>TOTAL</a:t>
            </a:r>
            <a:r>
              <a:rPr lang="pt-BR" sz="1100" baseline="0">
                <a:latin typeface="Arial Black" panose="020B0A04020102020204" pitchFamily="34" charset="0"/>
              </a:rPr>
              <a:t> SUBSCRIPTIONS EA PLAY SEASON PASS</a:t>
            </a:r>
            <a:endParaRPr lang="pt-BR" sz="1100">
              <a:latin typeface="Arial Black" panose="020B0A04020102020204" pitchFamily="34" charset="0"/>
            </a:endParaRPr>
          </a:p>
        </xdr:txBody>
      </xdr:sp>
    </xdr:grpSp>
    <xdr:clientData/>
  </xdr:twoCellAnchor>
  <xdr:twoCellAnchor>
    <xdr:from>
      <xdr:col>8</xdr:col>
      <xdr:colOff>54428</xdr:colOff>
      <xdr:row>6</xdr:row>
      <xdr:rowOff>30617</xdr:rowOff>
    </xdr:from>
    <xdr:to>
      <xdr:col>13</xdr:col>
      <xdr:colOff>421821</xdr:colOff>
      <xdr:row>17</xdr:row>
      <xdr:rowOff>17010</xdr:rowOff>
    </xdr:to>
    <xdr:grpSp>
      <xdr:nvGrpSpPr>
        <xdr:cNvPr id="29" name="Agrupar 28">
          <a:extLst>
            <a:ext uri="{FF2B5EF4-FFF2-40B4-BE49-F238E27FC236}">
              <a16:creationId xmlns:a16="http://schemas.microsoft.com/office/drawing/2014/main" id="{4AC016BB-877A-4248-93DD-C66E7D9F5FF1}"/>
            </a:ext>
          </a:extLst>
        </xdr:cNvPr>
        <xdr:cNvGrpSpPr/>
      </xdr:nvGrpSpPr>
      <xdr:grpSpPr>
        <a:xfrm>
          <a:off x="9026978" y="1173617"/>
          <a:ext cx="5301343" cy="2081893"/>
          <a:chOff x="3156857" y="993321"/>
          <a:chExt cx="5306786" cy="2081893"/>
        </a:xfrm>
      </xdr:grpSpPr>
      <xdr:grpSp>
        <xdr:nvGrpSpPr>
          <xdr:cNvPr id="30" name="Agrupar 29">
            <a:extLst>
              <a:ext uri="{FF2B5EF4-FFF2-40B4-BE49-F238E27FC236}">
                <a16:creationId xmlns:a16="http://schemas.microsoft.com/office/drawing/2014/main" id="{2C416255-DA4E-A5A0-7769-F14275E778E0}"/>
              </a:ext>
            </a:extLst>
          </xdr:cNvPr>
          <xdr:cNvGrpSpPr/>
        </xdr:nvGrpSpPr>
        <xdr:grpSpPr>
          <a:xfrm>
            <a:off x="3156857" y="1197428"/>
            <a:ext cx="5306786" cy="1877786"/>
            <a:chOff x="12790714" y="2041071"/>
            <a:chExt cx="3918857" cy="1877786"/>
          </a:xfrm>
        </xdr:grpSpPr>
        <xdr:sp macro="" textlink="">
          <xdr:nvSpPr>
            <xdr:cNvPr id="32" name="Retângulo: Cantos Arredondados 31">
              <a:extLst>
                <a:ext uri="{FF2B5EF4-FFF2-40B4-BE49-F238E27FC236}">
                  <a16:creationId xmlns:a16="http://schemas.microsoft.com/office/drawing/2014/main" id="{49E71559-337C-1DA4-9F13-18870D1AB8F1}"/>
                </a:ext>
              </a:extLst>
            </xdr:cNvPr>
            <xdr:cNvSpPr/>
          </xdr:nvSpPr>
          <xdr:spPr>
            <a:xfrm>
              <a:off x="12790714" y="2041071"/>
              <a:ext cx="3918857" cy="1877786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800">
                <a:solidFill>
                  <a:schemeClr val="bg1"/>
                </a:solidFill>
                <a:latin typeface="Arial Black" panose="020B0A04020102020204" pitchFamily="34" charset="0"/>
              </a:endParaRPr>
            </a:p>
          </xdr:txBody>
        </xdr:sp>
        <xdr:sp macro="" textlink="C̳álculos!E39">
          <xdr:nvSpPr>
            <xdr:cNvPr id="33" name="Retângulo: Cantos Arredondados 32">
              <a:extLst>
                <a:ext uri="{FF2B5EF4-FFF2-40B4-BE49-F238E27FC236}">
                  <a16:creationId xmlns:a16="http://schemas.microsoft.com/office/drawing/2014/main" id="{ABC7E2B2-0787-3EF9-3C19-BB42A46F9F7E}"/>
                </a:ext>
              </a:extLst>
            </xdr:cNvPr>
            <xdr:cNvSpPr/>
          </xdr:nvSpPr>
          <xdr:spPr>
            <a:xfrm>
              <a:off x="15222415" y="2666999"/>
              <a:ext cx="1336430" cy="898071"/>
            </a:xfrm>
            <a:prstGeom prst="round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9AA9E9EC-071C-47A4-98EA-58A371A56BEB}" type="TxLink">
                <a:rPr lang="en-US" sz="1800" b="0" i="0" u="none" strike="noStrike">
                  <a:solidFill>
                    <a:schemeClr val="bg1"/>
                  </a:solidFill>
                  <a:latin typeface="Arial Black" panose="020B0A04020102020204" pitchFamily="34" charset="0"/>
                </a:rPr>
                <a:t>R$ 3.880,00</a:t>
              </a:fld>
              <a:endParaRPr lang="pt-BR" sz="1800" b="1">
                <a:solidFill>
                  <a:schemeClr val="bg1"/>
                </a:solidFill>
                <a:latin typeface="Arial Black" panose="020B0A04020102020204" pitchFamily="34" charset="0"/>
              </a:endParaRPr>
            </a:p>
          </xdr:txBody>
        </xdr:sp>
      </xdr:grpSp>
      <xdr:sp macro="" textlink="">
        <xdr:nvSpPr>
          <xdr:cNvPr id="31" name="Retângulo: Cantos Superiores Arredondados 30">
            <a:extLst>
              <a:ext uri="{FF2B5EF4-FFF2-40B4-BE49-F238E27FC236}">
                <a16:creationId xmlns:a16="http://schemas.microsoft.com/office/drawing/2014/main" id="{8082D580-8465-2F67-F8BF-87F7625D1584}"/>
              </a:ext>
            </a:extLst>
          </xdr:cNvPr>
          <xdr:cNvSpPr/>
        </xdr:nvSpPr>
        <xdr:spPr>
          <a:xfrm>
            <a:off x="3156857" y="993321"/>
            <a:ext cx="5306786" cy="517072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solidFill>
                  <a:schemeClr val="bg1"/>
                </a:solidFill>
                <a:latin typeface="Arial Black" panose="020B0A04020102020204" pitchFamily="34" charset="0"/>
              </a:rPr>
              <a:t>TOTAL</a:t>
            </a:r>
            <a:r>
              <a:rPr lang="pt-BR" sz="1100" baseline="0">
                <a:solidFill>
                  <a:schemeClr val="bg1"/>
                </a:solidFill>
                <a:latin typeface="Arial Black" panose="020B0A04020102020204" pitchFamily="34" charset="0"/>
              </a:rPr>
              <a:t> SUBSCRIPTIONS MINECRAFT SEASON PASS</a:t>
            </a:r>
            <a:endParaRPr lang="pt-BR" sz="1100">
              <a:solidFill>
                <a:schemeClr val="bg1"/>
              </a:solidFill>
              <a:latin typeface="Arial Black" panose="020B0A04020102020204" pitchFamily="34" charset="0"/>
            </a:endParaRPr>
          </a:p>
        </xdr:txBody>
      </xdr:sp>
    </xdr:grpSp>
    <xdr:clientData/>
  </xdr:twoCellAnchor>
  <xdr:twoCellAnchor>
    <xdr:from>
      <xdr:col>1</xdr:col>
      <xdr:colOff>519792</xdr:colOff>
      <xdr:row>21</xdr:row>
      <xdr:rowOff>19731</xdr:rowOff>
    </xdr:from>
    <xdr:to>
      <xdr:col>13</xdr:col>
      <xdr:colOff>476250</xdr:colOff>
      <xdr:row>45</xdr:row>
      <xdr:rowOff>17689</xdr:rowOff>
    </xdr:to>
    <xdr:grpSp>
      <xdr:nvGrpSpPr>
        <xdr:cNvPr id="35" name="Agrupar 34">
          <a:extLst>
            <a:ext uri="{FF2B5EF4-FFF2-40B4-BE49-F238E27FC236}">
              <a16:creationId xmlns:a16="http://schemas.microsoft.com/office/drawing/2014/main" id="{3D96F69A-EA92-87ED-243C-ADE8EE3EE7F8}"/>
            </a:ext>
          </a:extLst>
        </xdr:cNvPr>
        <xdr:cNvGrpSpPr/>
      </xdr:nvGrpSpPr>
      <xdr:grpSpPr>
        <a:xfrm>
          <a:off x="3167742" y="4020231"/>
          <a:ext cx="11215008" cy="4569958"/>
          <a:chOff x="3173185" y="4020231"/>
          <a:chExt cx="11236779" cy="4569958"/>
        </a:xfrm>
      </xdr:grpSpPr>
      <xdr:graphicFrame macro="">
        <xdr:nvGraphicFramePr>
          <xdr:cNvPr id="6" name="Gráfico 5">
            <a:extLst>
              <a:ext uri="{FF2B5EF4-FFF2-40B4-BE49-F238E27FC236}">
                <a16:creationId xmlns:a16="http://schemas.microsoft.com/office/drawing/2014/main" id="{432D0ECC-E476-468E-AD7A-1E5212EAC0B6}"/>
              </a:ext>
            </a:extLst>
          </xdr:cNvPr>
          <xdr:cNvGraphicFramePr>
            <a:graphicFrameLocks/>
          </xdr:cNvGraphicFramePr>
        </xdr:nvGraphicFramePr>
        <xdr:xfrm>
          <a:off x="3184071" y="4544787"/>
          <a:ext cx="11225893" cy="404540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34" name="Retângulo: Cantos Superiores Arredondados 33">
            <a:extLst>
              <a:ext uri="{FF2B5EF4-FFF2-40B4-BE49-F238E27FC236}">
                <a16:creationId xmlns:a16="http://schemas.microsoft.com/office/drawing/2014/main" id="{71B2B6A9-6321-4556-87E9-F6EF692E17F2}"/>
              </a:ext>
            </a:extLst>
          </xdr:cNvPr>
          <xdr:cNvSpPr/>
        </xdr:nvSpPr>
        <xdr:spPr>
          <a:xfrm>
            <a:off x="3173185" y="4020231"/>
            <a:ext cx="11236779" cy="517072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latin typeface="Arial Black" panose="020B0A04020102020204" pitchFamily="34" charset="0"/>
              </a:rPr>
              <a:t>TOTAL</a:t>
            </a:r>
            <a:r>
              <a:rPr lang="pt-BR" sz="1100" baseline="0">
                <a:latin typeface="Arial Black" panose="020B0A04020102020204" pitchFamily="34" charset="0"/>
              </a:rPr>
              <a:t> SUBSCRIPTIONS XBOX GAME PASS</a:t>
            </a:r>
            <a:endParaRPr lang="pt-BR" sz="1100">
              <a:latin typeface="Arial Black" panose="020B0A04020102020204" pitchFamily="34" charset="0"/>
            </a:endParaRPr>
          </a:p>
        </xdr:txBody>
      </xdr:sp>
    </xdr:grpSp>
    <xdr:clientData/>
  </xdr:twoCellAnchor>
  <xdr:twoCellAnchor editAs="absolute">
    <xdr:from>
      <xdr:col>8</xdr:col>
      <xdr:colOff>435428</xdr:colOff>
      <xdr:row>9</xdr:row>
      <xdr:rowOff>97292</xdr:rowOff>
    </xdr:from>
    <xdr:to>
      <xdr:col>10</xdr:col>
      <xdr:colOff>523875</xdr:colOff>
      <xdr:row>16</xdr:row>
      <xdr:rowOff>0</xdr:rowOff>
    </xdr:to>
    <xdr:grpSp>
      <xdr:nvGrpSpPr>
        <xdr:cNvPr id="40" name="Agrupar 39">
          <a:extLst>
            <a:ext uri="{FF2B5EF4-FFF2-40B4-BE49-F238E27FC236}">
              <a16:creationId xmlns:a16="http://schemas.microsoft.com/office/drawing/2014/main" id="{243C2CE7-EAAD-4802-99A2-6685E61DCCD3}"/>
            </a:ext>
          </a:extLst>
        </xdr:cNvPr>
        <xdr:cNvGrpSpPr/>
      </xdr:nvGrpSpPr>
      <xdr:grpSpPr>
        <a:xfrm>
          <a:off x="9407978" y="1811792"/>
          <a:ext cx="2250622" cy="1236208"/>
          <a:chOff x="3495675" y="5400674"/>
          <a:chExt cx="1549476" cy="752476"/>
        </a:xfrm>
      </xdr:grpSpPr>
      <xdr:pic>
        <xdr:nvPicPr>
          <xdr:cNvPr id="41" name="Imagem 40">
            <a:extLst>
              <a:ext uri="{FF2B5EF4-FFF2-40B4-BE49-F238E27FC236}">
                <a16:creationId xmlns:a16="http://schemas.microsoft.com/office/drawing/2014/main" id="{886F6135-7221-5AAD-FEAB-8965A9A69A5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42" name="Gráfico 41">
            <a:extLst>
              <a:ext uri="{FF2B5EF4-FFF2-40B4-BE49-F238E27FC236}">
                <a16:creationId xmlns:a16="http://schemas.microsoft.com/office/drawing/2014/main" id="{1DF47F6E-FD00-B030-72EC-5C75FDF0E34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1084488</xdr:colOff>
      <xdr:row>8</xdr:row>
      <xdr:rowOff>2041</xdr:rowOff>
    </xdr:from>
    <xdr:to>
      <xdr:col>2</xdr:col>
      <xdr:colOff>1390650</xdr:colOff>
      <xdr:row>17</xdr:row>
      <xdr:rowOff>146278</xdr:rowOff>
    </xdr:to>
    <xdr:pic>
      <xdr:nvPicPr>
        <xdr:cNvPr id="43" name="Imagem 42">
          <a:extLst>
            <a:ext uri="{FF2B5EF4-FFF2-40B4-BE49-F238E27FC236}">
              <a16:creationId xmlns:a16="http://schemas.microsoft.com/office/drawing/2014/main" id="{AF3AFBF4-B53D-48B7-A9E5-CC53F40A8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2438" y="1526041"/>
          <a:ext cx="1858737" cy="1858737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" refreshedDate="46038.653348263892" createdVersion="8" refreshedVersion="8" minRefreshableVersion="3" recordCount="296" xr:uid="{9BF802B1-054E-41E7-9E36-DB08A09183C4}">
  <cacheSource type="worksheet">
    <worksheetSource ref="A1:M1048576" sheet="B̳ases"/>
  </cacheSource>
  <cacheFields count="13">
    <cacheField name="Subscriber ID" numFmtId="0">
      <sharedItems containsString="0" containsBlank="1" containsNumber="1" containsInteger="1" minValue="3231" maxValue="3525"/>
    </cacheField>
    <cacheField name="Name" numFmtId="0">
      <sharedItems containsBlank="1" count="281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  <m/>
      </sharedItems>
    </cacheField>
    <cacheField name="Plan" numFmtId="0">
      <sharedItems containsBlank="1" count="4">
        <s v="Ultimate"/>
        <s v="Core"/>
        <s v="Standard"/>
        <m/>
      </sharedItems>
    </cacheField>
    <cacheField name="Start Date" numFmtId="0">
      <sharedItems containsNonDate="0" containsDate="1" containsString="0" containsBlank="1" minDate="2024-01-01T00:00:00" maxDate="2024-12-17T00:00:00"/>
    </cacheField>
    <cacheField name="Auto Renewal" numFmtId="0">
      <sharedItems containsBlank="1" count="3">
        <s v="Yes"/>
        <s v="No"/>
        <m/>
      </sharedItems>
    </cacheField>
    <cacheField name="Subscription Price" numFmtId="0">
      <sharedItems containsString="0" containsBlank="1" containsNumber="1" containsInteger="1" minValue="5" maxValue="15"/>
    </cacheField>
    <cacheField name="Subscription Type" numFmtId="0">
      <sharedItems containsBlank="1" count="4">
        <s v="Monthly"/>
        <s v="Annual"/>
        <s v="Quarterly"/>
        <m/>
      </sharedItems>
    </cacheField>
    <cacheField name="EA Play Season Pass" numFmtId="0">
      <sharedItems containsBlank="1"/>
    </cacheField>
    <cacheField name="EA Play Season Pass_x000a_Price" numFmtId="0">
      <sharedItems containsBlank="1" containsMixedTypes="1" containsNumber="1" containsInteger="1" minValue="30" maxValue="30"/>
    </cacheField>
    <cacheField name="Minecraft Season Pass" numFmtId="0">
      <sharedItems containsBlank="1"/>
    </cacheField>
    <cacheField name="Minecraft Season Pass Price" numFmtId="0">
      <sharedItems containsString="0" containsBlank="1" containsNumber="1" containsInteger="1" minValue="0" maxValue="20"/>
    </cacheField>
    <cacheField name="Coupon Value" numFmtId="0">
      <sharedItems containsString="0" containsBlank="1" containsNumber="1" containsInteger="1" minValue="0" maxValue="20"/>
    </cacheField>
    <cacheField name="Total Value" numFmtId="0">
      <sharedItems containsString="0" containsBlank="1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30077330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6">
  <r>
    <n v="3231"/>
    <x v="0"/>
    <x v="0"/>
    <d v="2024-01-01T00:00:00"/>
    <x v="0"/>
    <n v="15"/>
    <x v="0"/>
    <s v="Yes"/>
    <n v="30"/>
    <s v="Yes"/>
    <n v="20"/>
    <n v="5"/>
    <n v="60"/>
  </r>
  <r>
    <n v="3232"/>
    <x v="1"/>
    <x v="1"/>
    <d v="2024-01-15T00:00:00"/>
    <x v="1"/>
    <n v="5"/>
    <x v="1"/>
    <s v="No"/>
    <s v="-"/>
    <s v="No"/>
    <n v="0"/>
    <n v="0"/>
    <n v="5"/>
  </r>
  <r>
    <n v="3233"/>
    <x v="2"/>
    <x v="2"/>
    <d v="2024-02-10T00:00:00"/>
    <x v="0"/>
    <n v="10"/>
    <x v="2"/>
    <s v="No"/>
    <s v="-"/>
    <s v="Yes"/>
    <n v="20"/>
    <n v="10"/>
    <n v="20"/>
  </r>
  <r>
    <n v="3234"/>
    <x v="3"/>
    <x v="0"/>
    <d v="2024-02-20T00:00:00"/>
    <x v="1"/>
    <n v="15"/>
    <x v="0"/>
    <s v="Yes"/>
    <n v="30"/>
    <s v="Yes"/>
    <n v="20"/>
    <n v="3"/>
    <n v="62"/>
  </r>
  <r>
    <n v="3235"/>
    <x v="4"/>
    <x v="1"/>
    <d v="2024-03-05T00:00:00"/>
    <x v="0"/>
    <n v="5"/>
    <x v="0"/>
    <s v="No"/>
    <s v="-"/>
    <s v="No"/>
    <n v="0"/>
    <n v="1"/>
    <n v="4"/>
  </r>
  <r>
    <n v="3236"/>
    <x v="5"/>
    <x v="2"/>
    <d v="2024-03-02T00:00:00"/>
    <x v="1"/>
    <n v="10"/>
    <x v="0"/>
    <s v="No"/>
    <s v="-"/>
    <s v="Yes"/>
    <n v="20"/>
    <n v="2"/>
    <n v="28"/>
  </r>
  <r>
    <n v="3237"/>
    <x v="6"/>
    <x v="0"/>
    <d v="2024-03-03T00:00:00"/>
    <x v="0"/>
    <n v="15"/>
    <x v="2"/>
    <s v="Yes"/>
    <n v="30"/>
    <s v="Yes"/>
    <n v="20"/>
    <n v="10"/>
    <n v="55"/>
  </r>
  <r>
    <n v="3238"/>
    <x v="7"/>
    <x v="1"/>
    <d v="2024-03-04T00:00:00"/>
    <x v="0"/>
    <n v="5"/>
    <x v="1"/>
    <s v="No"/>
    <s v="-"/>
    <s v="No"/>
    <n v="0"/>
    <n v="0"/>
    <n v="5"/>
  </r>
  <r>
    <n v="3239"/>
    <x v="8"/>
    <x v="0"/>
    <d v="2024-03-05T00:00:00"/>
    <x v="1"/>
    <n v="15"/>
    <x v="0"/>
    <s v="Yes"/>
    <n v="30"/>
    <s v="Yes"/>
    <n v="20"/>
    <n v="5"/>
    <n v="60"/>
  </r>
  <r>
    <n v="3240"/>
    <x v="9"/>
    <x v="2"/>
    <d v="2024-03-06T00:00:00"/>
    <x v="0"/>
    <n v="10"/>
    <x v="2"/>
    <s v="No"/>
    <s v="-"/>
    <s v="Yes"/>
    <n v="20"/>
    <n v="15"/>
    <n v="15"/>
  </r>
  <r>
    <n v="3241"/>
    <x v="10"/>
    <x v="1"/>
    <d v="2024-03-07T00:00:00"/>
    <x v="1"/>
    <n v="5"/>
    <x v="0"/>
    <s v="No"/>
    <s v="-"/>
    <s v="No"/>
    <n v="0"/>
    <n v="1"/>
    <n v="4"/>
  </r>
  <r>
    <n v="3242"/>
    <x v="11"/>
    <x v="0"/>
    <d v="2024-03-08T00:00:00"/>
    <x v="0"/>
    <n v="15"/>
    <x v="1"/>
    <s v="Yes"/>
    <n v="30"/>
    <s v="Yes"/>
    <n v="20"/>
    <n v="20"/>
    <n v="45"/>
  </r>
  <r>
    <n v="3243"/>
    <x v="12"/>
    <x v="2"/>
    <d v="2024-03-09T00:00:00"/>
    <x v="1"/>
    <n v="10"/>
    <x v="0"/>
    <s v="No"/>
    <s v="-"/>
    <s v="Yes"/>
    <n v="20"/>
    <n v="10"/>
    <n v="20"/>
  </r>
  <r>
    <n v="3244"/>
    <x v="13"/>
    <x v="1"/>
    <d v="2024-03-10T00:00:00"/>
    <x v="0"/>
    <n v="5"/>
    <x v="2"/>
    <s v="No"/>
    <s v="-"/>
    <s v="No"/>
    <n v="0"/>
    <n v="0"/>
    <n v="5"/>
  </r>
  <r>
    <n v="3245"/>
    <x v="14"/>
    <x v="0"/>
    <d v="2024-03-11T00:00:00"/>
    <x v="1"/>
    <n v="15"/>
    <x v="0"/>
    <s v="Yes"/>
    <n v="30"/>
    <s v="Yes"/>
    <n v="20"/>
    <n v="8"/>
    <n v="57"/>
  </r>
  <r>
    <n v="3246"/>
    <x v="15"/>
    <x v="2"/>
    <d v="2024-03-12T00:00:00"/>
    <x v="0"/>
    <n v="10"/>
    <x v="1"/>
    <s v="No"/>
    <s v="-"/>
    <s v="Yes"/>
    <n v="20"/>
    <n v="12"/>
    <n v="18"/>
  </r>
  <r>
    <n v="3247"/>
    <x v="16"/>
    <x v="1"/>
    <d v="2024-03-13T00:00:00"/>
    <x v="1"/>
    <n v="5"/>
    <x v="0"/>
    <s v="No"/>
    <s v="-"/>
    <s v="No"/>
    <n v="0"/>
    <n v="2"/>
    <n v="3"/>
  </r>
  <r>
    <n v="3248"/>
    <x v="17"/>
    <x v="0"/>
    <d v="2024-03-14T00:00:00"/>
    <x v="0"/>
    <n v="15"/>
    <x v="2"/>
    <s v="Yes"/>
    <n v="30"/>
    <s v="Yes"/>
    <n v="20"/>
    <n v="7"/>
    <n v="58"/>
  </r>
  <r>
    <n v="3249"/>
    <x v="18"/>
    <x v="2"/>
    <d v="2024-03-15T00:00:00"/>
    <x v="1"/>
    <n v="10"/>
    <x v="0"/>
    <s v="No"/>
    <s v="-"/>
    <s v="Yes"/>
    <n v="20"/>
    <n v="5"/>
    <n v="25"/>
  </r>
  <r>
    <n v="3250"/>
    <x v="19"/>
    <x v="1"/>
    <d v="2024-03-16T00:00:00"/>
    <x v="0"/>
    <n v="5"/>
    <x v="1"/>
    <s v="No"/>
    <s v="-"/>
    <s v="No"/>
    <n v="0"/>
    <n v="0"/>
    <n v="5"/>
  </r>
  <r>
    <n v="3251"/>
    <x v="20"/>
    <x v="0"/>
    <d v="2024-03-17T00:00:00"/>
    <x v="1"/>
    <n v="15"/>
    <x v="0"/>
    <s v="Yes"/>
    <n v="30"/>
    <s v="Yes"/>
    <n v="20"/>
    <n v="3"/>
    <n v="62"/>
  </r>
  <r>
    <n v="3252"/>
    <x v="21"/>
    <x v="2"/>
    <d v="2024-03-18T00:00:00"/>
    <x v="0"/>
    <n v="10"/>
    <x v="2"/>
    <s v="No"/>
    <s v="-"/>
    <s v="Yes"/>
    <n v="20"/>
    <n v="15"/>
    <n v="15"/>
  </r>
  <r>
    <n v="3253"/>
    <x v="22"/>
    <x v="1"/>
    <d v="2024-03-19T00:00:00"/>
    <x v="1"/>
    <n v="5"/>
    <x v="0"/>
    <s v="No"/>
    <s v="-"/>
    <s v="No"/>
    <n v="0"/>
    <n v="1"/>
    <n v="4"/>
  </r>
  <r>
    <n v="3254"/>
    <x v="23"/>
    <x v="0"/>
    <d v="2024-03-20T00:00:00"/>
    <x v="0"/>
    <n v="15"/>
    <x v="1"/>
    <s v="Yes"/>
    <n v="30"/>
    <s v="Yes"/>
    <n v="20"/>
    <n v="20"/>
    <n v="45"/>
  </r>
  <r>
    <n v="3255"/>
    <x v="24"/>
    <x v="2"/>
    <d v="2024-03-21T00:00:00"/>
    <x v="1"/>
    <n v="10"/>
    <x v="0"/>
    <s v="No"/>
    <s v="-"/>
    <s v="Yes"/>
    <n v="20"/>
    <n v="10"/>
    <n v="20"/>
  </r>
  <r>
    <n v="3256"/>
    <x v="25"/>
    <x v="1"/>
    <d v="2024-03-22T00:00:00"/>
    <x v="0"/>
    <n v="5"/>
    <x v="2"/>
    <s v="No"/>
    <s v="-"/>
    <s v="No"/>
    <n v="0"/>
    <n v="0"/>
    <n v="5"/>
  </r>
  <r>
    <n v="3257"/>
    <x v="26"/>
    <x v="0"/>
    <d v="2024-03-23T00:00:00"/>
    <x v="1"/>
    <n v="15"/>
    <x v="0"/>
    <s v="Yes"/>
    <n v="30"/>
    <s v="Yes"/>
    <n v="20"/>
    <n v="5"/>
    <n v="60"/>
  </r>
  <r>
    <n v="3258"/>
    <x v="27"/>
    <x v="2"/>
    <d v="2024-03-24T00:00:00"/>
    <x v="0"/>
    <n v="10"/>
    <x v="1"/>
    <s v="No"/>
    <s v="-"/>
    <s v="Yes"/>
    <n v="20"/>
    <n v="15"/>
    <n v="15"/>
  </r>
  <r>
    <n v="3259"/>
    <x v="28"/>
    <x v="1"/>
    <d v="2024-03-25T00:00:00"/>
    <x v="1"/>
    <n v="5"/>
    <x v="0"/>
    <s v="No"/>
    <s v="-"/>
    <s v="No"/>
    <n v="0"/>
    <n v="1"/>
    <n v="4"/>
  </r>
  <r>
    <n v="3260"/>
    <x v="29"/>
    <x v="0"/>
    <d v="2024-03-26T00:00:00"/>
    <x v="0"/>
    <n v="15"/>
    <x v="2"/>
    <s v="Yes"/>
    <n v="30"/>
    <s v="Yes"/>
    <n v="20"/>
    <n v="7"/>
    <n v="58"/>
  </r>
  <r>
    <n v="3261"/>
    <x v="30"/>
    <x v="2"/>
    <d v="2024-03-27T00:00:00"/>
    <x v="1"/>
    <n v="10"/>
    <x v="0"/>
    <s v="No"/>
    <s v="-"/>
    <s v="Yes"/>
    <n v="20"/>
    <n v="10"/>
    <n v="20"/>
  </r>
  <r>
    <n v="3262"/>
    <x v="31"/>
    <x v="1"/>
    <d v="2024-03-28T00:00:00"/>
    <x v="0"/>
    <n v="5"/>
    <x v="1"/>
    <s v="No"/>
    <s v="-"/>
    <s v="No"/>
    <n v="0"/>
    <n v="0"/>
    <n v="5"/>
  </r>
  <r>
    <n v="3263"/>
    <x v="32"/>
    <x v="0"/>
    <d v="2024-03-29T00:00:00"/>
    <x v="1"/>
    <n v="15"/>
    <x v="0"/>
    <s v="Yes"/>
    <n v="30"/>
    <s v="Yes"/>
    <n v="20"/>
    <n v="3"/>
    <n v="62"/>
  </r>
  <r>
    <n v="3264"/>
    <x v="33"/>
    <x v="2"/>
    <d v="2024-03-30T00:00:00"/>
    <x v="0"/>
    <n v="10"/>
    <x v="2"/>
    <s v="No"/>
    <s v="-"/>
    <s v="Yes"/>
    <n v="20"/>
    <n v="15"/>
    <n v="15"/>
  </r>
  <r>
    <n v="3265"/>
    <x v="34"/>
    <x v="1"/>
    <d v="2024-03-31T00:00:00"/>
    <x v="1"/>
    <n v="5"/>
    <x v="0"/>
    <s v="No"/>
    <s v="-"/>
    <s v="No"/>
    <n v="0"/>
    <n v="1"/>
    <n v="4"/>
  </r>
  <r>
    <n v="3266"/>
    <x v="35"/>
    <x v="1"/>
    <d v="2024-04-01T00:00:00"/>
    <x v="0"/>
    <n v="5"/>
    <x v="0"/>
    <s v="No"/>
    <s v="-"/>
    <s v="No"/>
    <n v="0"/>
    <n v="0"/>
    <n v="5"/>
  </r>
  <r>
    <n v="3267"/>
    <x v="36"/>
    <x v="0"/>
    <d v="2024-04-02T00:00:00"/>
    <x v="1"/>
    <n v="15"/>
    <x v="2"/>
    <s v="Yes"/>
    <n v="30"/>
    <s v="Yes"/>
    <n v="20"/>
    <n v="7"/>
    <n v="58"/>
  </r>
  <r>
    <n v="3268"/>
    <x v="37"/>
    <x v="2"/>
    <d v="2024-04-03T00:00:00"/>
    <x v="0"/>
    <n v="10"/>
    <x v="1"/>
    <s v="No"/>
    <s v="-"/>
    <s v="Yes"/>
    <n v="20"/>
    <n v="10"/>
    <n v="20"/>
  </r>
  <r>
    <n v="3269"/>
    <x v="38"/>
    <x v="1"/>
    <d v="2024-04-04T00:00:00"/>
    <x v="1"/>
    <n v="5"/>
    <x v="2"/>
    <s v="No"/>
    <s v="-"/>
    <s v="No"/>
    <n v="0"/>
    <n v="1"/>
    <n v="4"/>
  </r>
  <r>
    <n v="3270"/>
    <x v="39"/>
    <x v="0"/>
    <d v="2024-04-05T00:00:00"/>
    <x v="0"/>
    <n v="15"/>
    <x v="0"/>
    <s v="Yes"/>
    <n v="30"/>
    <s v="Yes"/>
    <n v="20"/>
    <n v="15"/>
    <n v="50"/>
  </r>
  <r>
    <n v="3271"/>
    <x v="40"/>
    <x v="2"/>
    <d v="2024-04-06T00:00:00"/>
    <x v="1"/>
    <n v="10"/>
    <x v="0"/>
    <s v="No"/>
    <s v="-"/>
    <s v="Yes"/>
    <n v="20"/>
    <n v="5"/>
    <n v="25"/>
  </r>
  <r>
    <n v="3272"/>
    <x v="41"/>
    <x v="1"/>
    <d v="2024-04-07T00:00:00"/>
    <x v="0"/>
    <n v="5"/>
    <x v="1"/>
    <s v="No"/>
    <s v="-"/>
    <s v="No"/>
    <n v="0"/>
    <n v="0"/>
    <n v="5"/>
  </r>
  <r>
    <n v="3273"/>
    <x v="42"/>
    <x v="0"/>
    <d v="2024-04-08T00:00:00"/>
    <x v="1"/>
    <n v="15"/>
    <x v="2"/>
    <s v="Yes"/>
    <n v="30"/>
    <s v="Yes"/>
    <n v="20"/>
    <n v="20"/>
    <n v="45"/>
  </r>
  <r>
    <n v="3274"/>
    <x v="43"/>
    <x v="2"/>
    <d v="2024-04-09T00:00:00"/>
    <x v="0"/>
    <n v="10"/>
    <x v="2"/>
    <s v="No"/>
    <s v="-"/>
    <s v="Yes"/>
    <n v="20"/>
    <n v="12"/>
    <n v="18"/>
  </r>
  <r>
    <n v="3275"/>
    <x v="44"/>
    <x v="1"/>
    <d v="2024-04-10T00:00:00"/>
    <x v="1"/>
    <n v="5"/>
    <x v="0"/>
    <s v="No"/>
    <s v="-"/>
    <s v="No"/>
    <n v="0"/>
    <n v="2"/>
    <n v="3"/>
  </r>
  <r>
    <n v="3276"/>
    <x v="45"/>
    <x v="0"/>
    <d v="2024-04-11T00:00:00"/>
    <x v="0"/>
    <n v="15"/>
    <x v="1"/>
    <s v="Yes"/>
    <n v="30"/>
    <s v="Yes"/>
    <n v="20"/>
    <n v="5"/>
    <n v="60"/>
  </r>
  <r>
    <n v="3277"/>
    <x v="46"/>
    <x v="2"/>
    <d v="2024-04-12T00:00:00"/>
    <x v="1"/>
    <n v="10"/>
    <x v="0"/>
    <s v="No"/>
    <s v="-"/>
    <s v="Yes"/>
    <n v="20"/>
    <n v="10"/>
    <n v="20"/>
  </r>
  <r>
    <n v="3278"/>
    <x v="47"/>
    <x v="1"/>
    <d v="2024-04-13T00:00:00"/>
    <x v="0"/>
    <n v="5"/>
    <x v="2"/>
    <s v="No"/>
    <s v="-"/>
    <s v="No"/>
    <n v="0"/>
    <n v="0"/>
    <n v="5"/>
  </r>
  <r>
    <n v="3279"/>
    <x v="48"/>
    <x v="0"/>
    <d v="2024-04-14T00:00:00"/>
    <x v="1"/>
    <n v="15"/>
    <x v="0"/>
    <s v="Yes"/>
    <n v="30"/>
    <s v="Yes"/>
    <n v="20"/>
    <n v="3"/>
    <n v="62"/>
  </r>
  <r>
    <n v="3280"/>
    <x v="49"/>
    <x v="2"/>
    <d v="2024-04-15T00:00:00"/>
    <x v="0"/>
    <n v="10"/>
    <x v="1"/>
    <s v="No"/>
    <s v="-"/>
    <s v="Yes"/>
    <n v="20"/>
    <n v="15"/>
    <n v="15"/>
  </r>
  <r>
    <n v="3281"/>
    <x v="50"/>
    <x v="1"/>
    <d v="2024-04-16T00:00:00"/>
    <x v="1"/>
    <n v="5"/>
    <x v="0"/>
    <s v="No"/>
    <s v="-"/>
    <s v="No"/>
    <n v="0"/>
    <n v="1"/>
    <n v="4"/>
  </r>
  <r>
    <n v="3282"/>
    <x v="51"/>
    <x v="0"/>
    <d v="2024-04-17T00:00:00"/>
    <x v="0"/>
    <n v="15"/>
    <x v="2"/>
    <s v="Yes"/>
    <n v="30"/>
    <s v="Yes"/>
    <n v="20"/>
    <n v="7"/>
    <n v="58"/>
  </r>
  <r>
    <n v="3283"/>
    <x v="52"/>
    <x v="2"/>
    <d v="2024-04-18T00:00:00"/>
    <x v="1"/>
    <n v="10"/>
    <x v="0"/>
    <s v="No"/>
    <s v="-"/>
    <s v="Yes"/>
    <n v="20"/>
    <n v="10"/>
    <n v="20"/>
  </r>
  <r>
    <n v="3284"/>
    <x v="53"/>
    <x v="1"/>
    <d v="2024-04-19T00:00:00"/>
    <x v="0"/>
    <n v="5"/>
    <x v="1"/>
    <s v="No"/>
    <s v="-"/>
    <s v="No"/>
    <n v="0"/>
    <n v="0"/>
    <n v="5"/>
  </r>
  <r>
    <n v="3285"/>
    <x v="54"/>
    <x v="0"/>
    <d v="2024-04-20T00:00:00"/>
    <x v="1"/>
    <n v="15"/>
    <x v="0"/>
    <s v="Yes"/>
    <n v="30"/>
    <s v="Yes"/>
    <n v="20"/>
    <n v="20"/>
    <n v="45"/>
  </r>
  <r>
    <n v="3286"/>
    <x v="55"/>
    <x v="2"/>
    <d v="2024-04-21T00:00:00"/>
    <x v="0"/>
    <n v="10"/>
    <x v="2"/>
    <s v="No"/>
    <s v="-"/>
    <s v="Yes"/>
    <n v="20"/>
    <n v="15"/>
    <n v="15"/>
  </r>
  <r>
    <n v="3287"/>
    <x v="56"/>
    <x v="1"/>
    <d v="2024-04-22T00:00:00"/>
    <x v="1"/>
    <n v="5"/>
    <x v="0"/>
    <s v="No"/>
    <s v="-"/>
    <s v="No"/>
    <n v="0"/>
    <n v="1"/>
    <n v="4"/>
  </r>
  <r>
    <n v="3288"/>
    <x v="57"/>
    <x v="0"/>
    <d v="2024-04-23T00:00:00"/>
    <x v="0"/>
    <n v="15"/>
    <x v="1"/>
    <s v="Yes"/>
    <n v="30"/>
    <s v="Yes"/>
    <n v="20"/>
    <n v="3"/>
    <n v="62"/>
  </r>
  <r>
    <n v="3289"/>
    <x v="58"/>
    <x v="2"/>
    <d v="2024-04-24T00:00:00"/>
    <x v="1"/>
    <n v="10"/>
    <x v="0"/>
    <s v="No"/>
    <s v="-"/>
    <s v="Yes"/>
    <n v="20"/>
    <n v="10"/>
    <n v="20"/>
  </r>
  <r>
    <n v="3290"/>
    <x v="59"/>
    <x v="1"/>
    <d v="2024-04-25T00:00:00"/>
    <x v="0"/>
    <n v="5"/>
    <x v="2"/>
    <s v="No"/>
    <s v="-"/>
    <s v="No"/>
    <n v="0"/>
    <n v="0"/>
    <n v="5"/>
  </r>
  <r>
    <n v="3291"/>
    <x v="60"/>
    <x v="0"/>
    <d v="2024-04-26T00:00:00"/>
    <x v="1"/>
    <n v="15"/>
    <x v="0"/>
    <s v="Yes"/>
    <n v="30"/>
    <s v="Yes"/>
    <n v="20"/>
    <n v="5"/>
    <n v="60"/>
  </r>
  <r>
    <n v="3292"/>
    <x v="61"/>
    <x v="2"/>
    <d v="2024-04-27T00:00:00"/>
    <x v="0"/>
    <n v="10"/>
    <x v="1"/>
    <s v="No"/>
    <s v="-"/>
    <s v="Yes"/>
    <n v="20"/>
    <n v="15"/>
    <n v="15"/>
  </r>
  <r>
    <n v="3293"/>
    <x v="62"/>
    <x v="1"/>
    <d v="2024-04-28T00:00:00"/>
    <x v="1"/>
    <n v="5"/>
    <x v="0"/>
    <s v="No"/>
    <s v="-"/>
    <s v="No"/>
    <n v="0"/>
    <n v="1"/>
    <n v="4"/>
  </r>
  <r>
    <n v="3294"/>
    <x v="63"/>
    <x v="0"/>
    <d v="2024-04-29T00:00:00"/>
    <x v="0"/>
    <n v="15"/>
    <x v="2"/>
    <s v="Yes"/>
    <n v="30"/>
    <s v="Yes"/>
    <n v="20"/>
    <n v="20"/>
    <n v="45"/>
  </r>
  <r>
    <n v="3295"/>
    <x v="64"/>
    <x v="2"/>
    <d v="2024-04-30T00:00:00"/>
    <x v="1"/>
    <n v="10"/>
    <x v="0"/>
    <s v="No"/>
    <s v="-"/>
    <s v="Yes"/>
    <n v="20"/>
    <n v="5"/>
    <n v="25"/>
  </r>
  <r>
    <n v="3296"/>
    <x v="65"/>
    <x v="1"/>
    <d v="2024-05-01T00:00:00"/>
    <x v="1"/>
    <n v="5"/>
    <x v="0"/>
    <s v="No"/>
    <s v="-"/>
    <s v="No"/>
    <n v="0"/>
    <n v="0"/>
    <n v="5"/>
  </r>
  <r>
    <n v="3297"/>
    <x v="66"/>
    <x v="0"/>
    <d v="2024-05-02T00:00:00"/>
    <x v="0"/>
    <n v="15"/>
    <x v="2"/>
    <s v="Yes"/>
    <n v="30"/>
    <s v="Yes"/>
    <n v="20"/>
    <n v="7"/>
    <n v="58"/>
  </r>
  <r>
    <n v="3298"/>
    <x v="67"/>
    <x v="2"/>
    <d v="2024-05-03T00:00:00"/>
    <x v="1"/>
    <n v="10"/>
    <x v="1"/>
    <s v="No"/>
    <s v="-"/>
    <s v="Yes"/>
    <n v="20"/>
    <n v="10"/>
    <n v="20"/>
  </r>
  <r>
    <n v="3299"/>
    <x v="68"/>
    <x v="1"/>
    <d v="2024-05-04T00:00:00"/>
    <x v="0"/>
    <n v="5"/>
    <x v="2"/>
    <s v="No"/>
    <s v="-"/>
    <s v="No"/>
    <n v="0"/>
    <n v="1"/>
    <n v="4"/>
  </r>
  <r>
    <n v="3300"/>
    <x v="69"/>
    <x v="0"/>
    <d v="2024-05-05T00:00:00"/>
    <x v="1"/>
    <n v="15"/>
    <x v="0"/>
    <s v="Yes"/>
    <n v="30"/>
    <s v="Yes"/>
    <n v="20"/>
    <n v="15"/>
    <n v="50"/>
  </r>
  <r>
    <n v="3301"/>
    <x v="70"/>
    <x v="2"/>
    <d v="2024-05-06T00:00:00"/>
    <x v="0"/>
    <n v="10"/>
    <x v="0"/>
    <s v="No"/>
    <s v="-"/>
    <s v="Yes"/>
    <n v="20"/>
    <n v="5"/>
    <n v="25"/>
  </r>
  <r>
    <n v="3302"/>
    <x v="71"/>
    <x v="1"/>
    <d v="2024-05-07T00:00:00"/>
    <x v="1"/>
    <n v="5"/>
    <x v="1"/>
    <s v="No"/>
    <s v="-"/>
    <s v="No"/>
    <n v="0"/>
    <n v="0"/>
    <n v="5"/>
  </r>
  <r>
    <n v="3303"/>
    <x v="72"/>
    <x v="0"/>
    <d v="2024-05-08T00:00:00"/>
    <x v="0"/>
    <n v="15"/>
    <x v="2"/>
    <s v="Yes"/>
    <n v="30"/>
    <s v="Yes"/>
    <n v="20"/>
    <n v="20"/>
    <n v="45"/>
  </r>
  <r>
    <n v="3304"/>
    <x v="73"/>
    <x v="2"/>
    <d v="2024-05-09T00:00:00"/>
    <x v="1"/>
    <n v="10"/>
    <x v="2"/>
    <s v="No"/>
    <s v="-"/>
    <s v="Yes"/>
    <n v="20"/>
    <n v="12"/>
    <n v="18"/>
  </r>
  <r>
    <n v="3305"/>
    <x v="74"/>
    <x v="1"/>
    <d v="2024-05-10T00:00:00"/>
    <x v="0"/>
    <n v="5"/>
    <x v="0"/>
    <s v="No"/>
    <s v="-"/>
    <s v="No"/>
    <n v="0"/>
    <n v="2"/>
    <n v="3"/>
  </r>
  <r>
    <n v="3306"/>
    <x v="75"/>
    <x v="0"/>
    <d v="2024-05-11T00:00:00"/>
    <x v="1"/>
    <n v="15"/>
    <x v="1"/>
    <s v="Yes"/>
    <n v="30"/>
    <s v="Yes"/>
    <n v="20"/>
    <n v="5"/>
    <n v="60"/>
  </r>
  <r>
    <n v="3307"/>
    <x v="76"/>
    <x v="2"/>
    <d v="2024-05-12T00:00:00"/>
    <x v="0"/>
    <n v="10"/>
    <x v="0"/>
    <s v="No"/>
    <s v="-"/>
    <s v="Yes"/>
    <n v="20"/>
    <n v="10"/>
    <n v="20"/>
  </r>
  <r>
    <n v="3308"/>
    <x v="77"/>
    <x v="1"/>
    <d v="2024-05-13T00:00:00"/>
    <x v="1"/>
    <n v="5"/>
    <x v="2"/>
    <s v="No"/>
    <s v="-"/>
    <s v="No"/>
    <n v="0"/>
    <n v="0"/>
    <n v="5"/>
  </r>
  <r>
    <n v="3309"/>
    <x v="78"/>
    <x v="0"/>
    <d v="2024-05-14T00:00:00"/>
    <x v="0"/>
    <n v="15"/>
    <x v="0"/>
    <s v="Yes"/>
    <n v="30"/>
    <s v="Yes"/>
    <n v="20"/>
    <n v="3"/>
    <n v="62"/>
  </r>
  <r>
    <n v="3310"/>
    <x v="79"/>
    <x v="2"/>
    <d v="2024-05-15T00:00:00"/>
    <x v="1"/>
    <n v="10"/>
    <x v="1"/>
    <s v="No"/>
    <s v="-"/>
    <s v="Yes"/>
    <n v="20"/>
    <n v="15"/>
    <n v="15"/>
  </r>
  <r>
    <n v="3311"/>
    <x v="80"/>
    <x v="1"/>
    <d v="2024-05-16T00:00:00"/>
    <x v="0"/>
    <n v="5"/>
    <x v="0"/>
    <s v="No"/>
    <s v="-"/>
    <s v="No"/>
    <n v="0"/>
    <n v="1"/>
    <n v="4"/>
  </r>
  <r>
    <n v="3312"/>
    <x v="81"/>
    <x v="0"/>
    <d v="2024-05-17T00:00:00"/>
    <x v="1"/>
    <n v="15"/>
    <x v="2"/>
    <s v="Yes"/>
    <n v="30"/>
    <s v="Yes"/>
    <n v="20"/>
    <n v="7"/>
    <n v="58"/>
  </r>
  <r>
    <n v="3313"/>
    <x v="82"/>
    <x v="2"/>
    <d v="2024-05-18T00:00:00"/>
    <x v="0"/>
    <n v="10"/>
    <x v="0"/>
    <s v="No"/>
    <s v="-"/>
    <s v="Yes"/>
    <n v="20"/>
    <n v="10"/>
    <n v="20"/>
  </r>
  <r>
    <n v="3314"/>
    <x v="83"/>
    <x v="1"/>
    <d v="2024-05-19T00:00:00"/>
    <x v="1"/>
    <n v="5"/>
    <x v="1"/>
    <s v="No"/>
    <s v="-"/>
    <s v="No"/>
    <n v="0"/>
    <n v="0"/>
    <n v="5"/>
  </r>
  <r>
    <n v="3315"/>
    <x v="84"/>
    <x v="0"/>
    <d v="2024-05-20T00:00:00"/>
    <x v="0"/>
    <n v="15"/>
    <x v="0"/>
    <s v="Yes"/>
    <n v="30"/>
    <s v="Yes"/>
    <n v="20"/>
    <n v="20"/>
    <n v="45"/>
  </r>
  <r>
    <n v="3316"/>
    <x v="85"/>
    <x v="2"/>
    <d v="2024-05-21T00:00:00"/>
    <x v="1"/>
    <n v="10"/>
    <x v="2"/>
    <s v="No"/>
    <s v="-"/>
    <s v="Yes"/>
    <n v="20"/>
    <n v="15"/>
    <n v="15"/>
  </r>
  <r>
    <n v="3317"/>
    <x v="86"/>
    <x v="1"/>
    <d v="2024-05-22T00:00:00"/>
    <x v="0"/>
    <n v="5"/>
    <x v="0"/>
    <s v="No"/>
    <s v="-"/>
    <s v="No"/>
    <n v="0"/>
    <n v="1"/>
    <n v="4"/>
  </r>
  <r>
    <n v="3318"/>
    <x v="87"/>
    <x v="0"/>
    <d v="2024-05-23T00:00:00"/>
    <x v="1"/>
    <n v="15"/>
    <x v="1"/>
    <s v="Yes"/>
    <n v="30"/>
    <s v="Yes"/>
    <n v="20"/>
    <n v="3"/>
    <n v="62"/>
  </r>
  <r>
    <n v="3319"/>
    <x v="88"/>
    <x v="2"/>
    <d v="2024-05-24T00:00:00"/>
    <x v="0"/>
    <n v="10"/>
    <x v="0"/>
    <s v="No"/>
    <s v="-"/>
    <s v="Yes"/>
    <n v="20"/>
    <n v="10"/>
    <n v="20"/>
  </r>
  <r>
    <n v="3320"/>
    <x v="89"/>
    <x v="1"/>
    <d v="2024-05-25T00:00:00"/>
    <x v="1"/>
    <n v="5"/>
    <x v="2"/>
    <s v="No"/>
    <s v="-"/>
    <s v="No"/>
    <n v="0"/>
    <n v="0"/>
    <n v="5"/>
  </r>
  <r>
    <n v="3321"/>
    <x v="90"/>
    <x v="0"/>
    <d v="2024-05-26T00:00:00"/>
    <x v="0"/>
    <n v="15"/>
    <x v="0"/>
    <s v="Yes"/>
    <n v="30"/>
    <s v="Yes"/>
    <n v="20"/>
    <n v="5"/>
    <n v="60"/>
  </r>
  <r>
    <n v="3322"/>
    <x v="91"/>
    <x v="2"/>
    <d v="2024-05-27T00:00:00"/>
    <x v="1"/>
    <n v="10"/>
    <x v="1"/>
    <s v="No"/>
    <s v="-"/>
    <s v="Yes"/>
    <n v="20"/>
    <n v="15"/>
    <n v="15"/>
  </r>
  <r>
    <n v="3323"/>
    <x v="92"/>
    <x v="1"/>
    <d v="2024-05-28T00:00:00"/>
    <x v="0"/>
    <n v="5"/>
    <x v="0"/>
    <s v="No"/>
    <s v="-"/>
    <s v="No"/>
    <n v="0"/>
    <n v="1"/>
    <n v="4"/>
  </r>
  <r>
    <n v="3324"/>
    <x v="93"/>
    <x v="0"/>
    <d v="2024-05-29T00:00:00"/>
    <x v="1"/>
    <n v="15"/>
    <x v="2"/>
    <s v="Yes"/>
    <n v="30"/>
    <s v="Yes"/>
    <n v="20"/>
    <n v="20"/>
    <n v="45"/>
  </r>
  <r>
    <n v="3325"/>
    <x v="94"/>
    <x v="2"/>
    <d v="2024-05-30T00:00:00"/>
    <x v="0"/>
    <n v="10"/>
    <x v="2"/>
    <s v="No"/>
    <s v="-"/>
    <s v="Yes"/>
    <n v="20"/>
    <n v="15"/>
    <n v="15"/>
  </r>
  <r>
    <n v="3326"/>
    <x v="95"/>
    <x v="1"/>
    <d v="2024-05-31T00:00:00"/>
    <x v="1"/>
    <n v="5"/>
    <x v="1"/>
    <s v="No"/>
    <s v="-"/>
    <s v="No"/>
    <n v="0"/>
    <n v="0"/>
    <n v="5"/>
  </r>
  <r>
    <n v="3327"/>
    <x v="96"/>
    <x v="0"/>
    <d v="2024-06-01T00:00:00"/>
    <x v="0"/>
    <n v="15"/>
    <x v="0"/>
    <s v="Yes"/>
    <n v="30"/>
    <s v="Yes"/>
    <n v="20"/>
    <n v="7"/>
    <n v="58"/>
  </r>
  <r>
    <n v="3328"/>
    <x v="97"/>
    <x v="2"/>
    <d v="2024-06-02T00:00:00"/>
    <x v="1"/>
    <n v="10"/>
    <x v="1"/>
    <s v="No"/>
    <s v="-"/>
    <s v="Yes"/>
    <n v="20"/>
    <n v="10"/>
    <n v="20"/>
  </r>
  <r>
    <n v="3329"/>
    <x v="98"/>
    <x v="1"/>
    <d v="2024-06-03T00:00:00"/>
    <x v="0"/>
    <n v="5"/>
    <x v="2"/>
    <s v="No"/>
    <s v="-"/>
    <s v="No"/>
    <n v="0"/>
    <n v="1"/>
    <n v="4"/>
  </r>
  <r>
    <n v="3330"/>
    <x v="99"/>
    <x v="0"/>
    <d v="2024-06-04T00:00:00"/>
    <x v="1"/>
    <n v="15"/>
    <x v="0"/>
    <s v="Yes"/>
    <n v="30"/>
    <s v="Yes"/>
    <n v="20"/>
    <n v="15"/>
    <n v="50"/>
  </r>
  <r>
    <n v="3331"/>
    <x v="100"/>
    <x v="2"/>
    <d v="2024-06-05T00:00:00"/>
    <x v="0"/>
    <n v="10"/>
    <x v="0"/>
    <s v="No"/>
    <s v="-"/>
    <s v="Yes"/>
    <n v="20"/>
    <n v="5"/>
    <n v="25"/>
  </r>
  <r>
    <n v="3332"/>
    <x v="101"/>
    <x v="1"/>
    <d v="2024-06-06T00:00:00"/>
    <x v="1"/>
    <n v="5"/>
    <x v="1"/>
    <s v="No"/>
    <s v="-"/>
    <s v="No"/>
    <n v="0"/>
    <n v="0"/>
    <n v="5"/>
  </r>
  <r>
    <n v="3333"/>
    <x v="102"/>
    <x v="0"/>
    <d v="2024-06-07T00:00:00"/>
    <x v="0"/>
    <n v="15"/>
    <x v="2"/>
    <s v="Yes"/>
    <n v="30"/>
    <s v="Yes"/>
    <n v="20"/>
    <n v="20"/>
    <n v="45"/>
  </r>
  <r>
    <n v="3334"/>
    <x v="103"/>
    <x v="2"/>
    <d v="2024-06-08T00:00:00"/>
    <x v="1"/>
    <n v="10"/>
    <x v="2"/>
    <s v="No"/>
    <s v="-"/>
    <s v="Yes"/>
    <n v="20"/>
    <n v="12"/>
    <n v="18"/>
  </r>
  <r>
    <n v="3335"/>
    <x v="104"/>
    <x v="1"/>
    <d v="2024-06-09T00:00:00"/>
    <x v="0"/>
    <n v="5"/>
    <x v="0"/>
    <s v="No"/>
    <s v="-"/>
    <s v="No"/>
    <n v="0"/>
    <n v="2"/>
    <n v="3"/>
  </r>
  <r>
    <n v="3336"/>
    <x v="105"/>
    <x v="1"/>
    <d v="2024-06-10T00:00:00"/>
    <x v="0"/>
    <n v="5"/>
    <x v="0"/>
    <s v="No"/>
    <s v="-"/>
    <s v="No"/>
    <n v="0"/>
    <n v="0"/>
    <n v="5"/>
  </r>
  <r>
    <n v="3337"/>
    <x v="106"/>
    <x v="0"/>
    <d v="2024-06-11T00:00:00"/>
    <x v="1"/>
    <n v="15"/>
    <x v="2"/>
    <s v="Yes"/>
    <n v="30"/>
    <s v="Yes"/>
    <n v="20"/>
    <n v="7"/>
    <n v="58"/>
  </r>
  <r>
    <n v="3338"/>
    <x v="107"/>
    <x v="2"/>
    <d v="2024-06-12T00:00:00"/>
    <x v="0"/>
    <n v="10"/>
    <x v="1"/>
    <s v="No"/>
    <s v="-"/>
    <s v="Yes"/>
    <n v="20"/>
    <n v="10"/>
    <n v="20"/>
  </r>
  <r>
    <n v="3339"/>
    <x v="108"/>
    <x v="1"/>
    <d v="2024-06-13T00:00:00"/>
    <x v="1"/>
    <n v="5"/>
    <x v="2"/>
    <s v="No"/>
    <s v="-"/>
    <s v="No"/>
    <n v="0"/>
    <n v="1"/>
    <n v="4"/>
  </r>
  <r>
    <n v="3340"/>
    <x v="109"/>
    <x v="0"/>
    <d v="2024-06-14T00:00:00"/>
    <x v="0"/>
    <n v="15"/>
    <x v="0"/>
    <s v="Yes"/>
    <n v="30"/>
    <s v="Yes"/>
    <n v="20"/>
    <n v="15"/>
    <n v="50"/>
  </r>
  <r>
    <n v="3341"/>
    <x v="110"/>
    <x v="2"/>
    <d v="2024-06-15T00:00:00"/>
    <x v="1"/>
    <n v="10"/>
    <x v="0"/>
    <s v="No"/>
    <s v="-"/>
    <s v="Yes"/>
    <n v="20"/>
    <n v="5"/>
    <n v="25"/>
  </r>
  <r>
    <n v="3342"/>
    <x v="111"/>
    <x v="1"/>
    <d v="2024-06-16T00:00:00"/>
    <x v="0"/>
    <n v="5"/>
    <x v="1"/>
    <s v="No"/>
    <s v="-"/>
    <s v="No"/>
    <n v="0"/>
    <n v="0"/>
    <n v="5"/>
  </r>
  <r>
    <n v="3343"/>
    <x v="112"/>
    <x v="0"/>
    <d v="2024-06-17T00:00:00"/>
    <x v="1"/>
    <n v="15"/>
    <x v="2"/>
    <s v="Yes"/>
    <n v="30"/>
    <s v="Yes"/>
    <n v="20"/>
    <n v="20"/>
    <n v="45"/>
  </r>
  <r>
    <n v="3344"/>
    <x v="113"/>
    <x v="2"/>
    <d v="2024-06-18T00:00:00"/>
    <x v="0"/>
    <n v="10"/>
    <x v="2"/>
    <s v="No"/>
    <s v="-"/>
    <s v="Yes"/>
    <n v="20"/>
    <n v="12"/>
    <n v="18"/>
  </r>
  <r>
    <n v="3345"/>
    <x v="114"/>
    <x v="1"/>
    <d v="2024-06-19T00:00:00"/>
    <x v="1"/>
    <n v="5"/>
    <x v="0"/>
    <s v="No"/>
    <s v="-"/>
    <s v="No"/>
    <n v="0"/>
    <n v="2"/>
    <n v="3"/>
  </r>
  <r>
    <n v="3346"/>
    <x v="115"/>
    <x v="0"/>
    <d v="2024-06-20T00:00:00"/>
    <x v="0"/>
    <n v="15"/>
    <x v="1"/>
    <s v="Yes"/>
    <n v="30"/>
    <s v="Yes"/>
    <n v="20"/>
    <n v="5"/>
    <n v="60"/>
  </r>
  <r>
    <n v="3347"/>
    <x v="116"/>
    <x v="2"/>
    <d v="2024-06-21T00:00:00"/>
    <x v="1"/>
    <n v="10"/>
    <x v="0"/>
    <s v="No"/>
    <s v="-"/>
    <s v="Yes"/>
    <n v="20"/>
    <n v="10"/>
    <n v="20"/>
  </r>
  <r>
    <n v="3348"/>
    <x v="117"/>
    <x v="1"/>
    <d v="2024-06-22T00:00:00"/>
    <x v="0"/>
    <n v="5"/>
    <x v="2"/>
    <s v="No"/>
    <s v="-"/>
    <s v="No"/>
    <n v="0"/>
    <n v="0"/>
    <n v="5"/>
  </r>
  <r>
    <n v="3349"/>
    <x v="93"/>
    <x v="0"/>
    <d v="2024-06-23T00:00:00"/>
    <x v="1"/>
    <n v="15"/>
    <x v="0"/>
    <s v="Yes"/>
    <n v="30"/>
    <s v="Yes"/>
    <n v="20"/>
    <n v="3"/>
    <n v="62"/>
  </r>
  <r>
    <n v="3350"/>
    <x v="118"/>
    <x v="2"/>
    <d v="2024-06-24T00:00:00"/>
    <x v="0"/>
    <n v="10"/>
    <x v="1"/>
    <s v="No"/>
    <s v="-"/>
    <s v="Yes"/>
    <n v="20"/>
    <n v="15"/>
    <n v="15"/>
  </r>
  <r>
    <n v="3351"/>
    <x v="119"/>
    <x v="1"/>
    <d v="2024-06-25T00:00:00"/>
    <x v="1"/>
    <n v="5"/>
    <x v="0"/>
    <s v="No"/>
    <s v="-"/>
    <s v="No"/>
    <n v="0"/>
    <n v="1"/>
    <n v="4"/>
  </r>
  <r>
    <n v="3352"/>
    <x v="120"/>
    <x v="0"/>
    <d v="2024-06-26T00:00:00"/>
    <x v="0"/>
    <n v="15"/>
    <x v="2"/>
    <s v="Yes"/>
    <n v="30"/>
    <s v="Yes"/>
    <n v="20"/>
    <n v="7"/>
    <n v="58"/>
  </r>
  <r>
    <n v="3353"/>
    <x v="121"/>
    <x v="2"/>
    <d v="2024-06-27T00:00:00"/>
    <x v="1"/>
    <n v="10"/>
    <x v="0"/>
    <s v="No"/>
    <s v="-"/>
    <s v="Yes"/>
    <n v="20"/>
    <n v="10"/>
    <n v="20"/>
  </r>
  <r>
    <n v="3354"/>
    <x v="122"/>
    <x v="1"/>
    <d v="2024-06-28T00:00:00"/>
    <x v="0"/>
    <n v="5"/>
    <x v="1"/>
    <s v="No"/>
    <s v="-"/>
    <s v="No"/>
    <n v="0"/>
    <n v="0"/>
    <n v="5"/>
  </r>
  <r>
    <n v="3355"/>
    <x v="123"/>
    <x v="0"/>
    <d v="2024-06-29T00:00:00"/>
    <x v="1"/>
    <n v="15"/>
    <x v="0"/>
    <s v="Yes"/>
    <n v="30"/>
    <s v="Yes"/>
    <n v="20"/>
    <n v="20"/>
    <n v="45"/>
  </r>
  <r>
    <n v="3356"/>
    <x v="124"/>
    <x v="2"/>
    <d v="2024-06-30T00:00:00"/>
    <x v="0"/>
    <n v="10"/>
    <x v="2"/>
    <s v="No"/>
    <s v="-"/>
    <s v="Yes"/>
    <n v="20"/>
    <n v="15"/>
    <n v="15"/>
  </r>
  <r>
    <n v="3357"/>
    <x v="125"/>
    <x v="1"/>
    <d v="2024-07-01T00:00:00"/>
    <x v="1"/>
    <n v="5"/>
    <x v="0"/>
    <s v="No"/>
    <s v="-"/>
    <s v="No"/>
    <n v="0"/>
    <n v="1"/>
    <n v="4"/>
  </r>
  <r>
    <n v="3358"/>
    <x v="126"/>
    <x v="0"/>
    <d v="2024-07-02T00:00:00"/>
    <x v="0"/>
    <n v="15"/>
    <x v="1"/>
    <s v="Yes"/>
    <n v="30"/>
    <s v="Yes"/>
    <n v="20"/>
    <n v="3"/>
    <n v="62"/>
  </r>
  <r>
    <n v="3359"/>
    <x v="127"/>
    <x v="2"/>
    <d v="2024-07-03T00:00:00"/>
    <x v="1"/>
    <n v="10"/>
    <x v="0"/>
    <s v="No"/>
    <s v="-"/>
    <s v="Yes"/>
    <n v="20"/>
    <n v="10"/>
    <n v="20"/>
  </r>
  <r>
    <n v="3360"/>
    <x v="128"/>
    <x v="1"/>
    <d v="2024-07-04T00:00:00"/>
    <x v="0"/>
    <n v="5"/>
    <x v="2"/>
    <s v="No"/>
    <s v="-"/>
    <s v="No"/>
    <n v="0"/>
    <n v="0"/>
    <n v="5"/>
  </r>
  <r>
    <n v="3361"/>
    <x v="129"/>
    <x v="0"/>
    <d v="2024-07-05T00:00:00"/>
    <x v="1"/>
    <n v="15"/>
    <x v="0"/>
    <s v="Yes"/>
    <n v="30"/>
    <s v="Yes"/>
    <n v="20"/>
    <n v="15"/>
    <n v="50"/>
  </r>
  <r>
    <n v="3362"/>
    <x v="130"/>
    <x v="2"/>
    <d v="2024-07-06T00:00:00"/>
    <x v="0"/>
    <n v="10"/>
    <x v="1"/>
    <s v="No"/>
    <s v="-"/>
    <s v="Yes"/>
    <n v="20"/>
    <n v="15"/>
    <n v="15"/>
  </r>
  <r>
    <n v="3363"/>
    <x v="131"/>
    <x v="1"/>
    <d v="2024-07-07T00:00:00"/>
    <x v="1"/>
    <n v="5"/>
    <x v="0"/>
    <s v="No"/>
    <s v="-"/>
    <s v="No"/>
    <n v="0"/>
    <n v="1"/>
    <n v="4"/>
  </r>
  <r>
    <n v="3364"/>
    <x v="132"/>
    <x v="0"/>
    <d v="2024-07-08T00:00:00"/>
    <x v="0"/>
    <n v="15"/>
    <x v="2"/>
    <s v="Yes"/>
    <n v="30"/>
    <s v="Yes"/>
    <n v="20"/>
    <n v="7"/>
    <n v="58"/>
  </r>
  <r>
    <n v="3365"/>
    <x v="133"/>
    <x v="2"/>
    <d v="2024-07-09T00:00:00"/>
    <x v="1"/>
    <n v="10"/>
    <x v="0"/>
    <s v="No"/>
    <s v="-"/>
    <s v="Yes"/>
    <n v="20"/>
    <n v="10"/>
    <n v="20"/>
  </r>
  <r>
    <n v="3366"/>
    <x v="134"/>
    <x v="1"/>
    <d v="2024-07-10T00:00:00"/>
    <x v="0"/>
    <n v="5"/>
    <x v="0"/>
    <s v="No"/>
    <s v="-"/>
    <s v="No"/>
    <n v="0"/>
    <n v="0"/>
    <n v="5"/>
  </r>
  <r>
    <n v="3367"/>
    <x v="135"/>
    <x v="0"/>
    <d v="2024-07-11T00:00:00"/>
    <x v="1"/>
    <n v="15"/>
    <x v="2"/>
    <s v="Yes"/>
    <n v="30"/>
    <s v="Yes"/>
    <n v="20"/>
    <n v="7"/>
    <n v="58"/>
  </r>
  <r>
    <n v="3368"/>
    <x v="136"/>
    <x v="2"/>
    <d v="2024-07-12T00:00:00"/>
    <x v="0"/>
    <n v="10"/>
    <x v="1"/>
    <s v="No"/>
    <s v="-"/>
    <s v="Yes"/>
    <n v="20"/>
    <n v="10"/>
    <n v="20"/>
  </r>
  <r>
    <n v="3369"/>
    <x v="137"/>
    <x v="1"/>
    <d v="2024-07-13T00:00:00"/>
    <x v="1"/>
    <n v="5"/>
    <x v="2"/>
    <s v="No"/>
    <s v="-"/>
    <s v="No"/>
    <n v="0"/>
    <n v="1"/>
    <n v="4"/>
  </r>
  <r>
    <n v="3370"/>
    <x v="138"/>
    <x v="0"/>
    <d v="2024-07-14T00:00:00"/>
    <x v="0"/>
    <n v="15"/>
    <x v="0"/>
    <s v="Yes"/>
    <n v="30"/>
    <s v="Yes"/>
    <n v="20"/>
    <n v="15"/>
    <n v="50"/>
  </r>
  <r>
    <n v="3371"/>
    <x v="139"/>
    <x v="2"/>
    <d v="2024-07-15T00:00:00"/>
    <x v="1"/>
    <n v="10"/>
    <x v="0"/>
    <s v="No"/>
    <s v="-"/>
    <s v="Yes"/>
    <n v="20"/>
    <n v="5"/>
    <n v="25"/>
  </r>
  <r>
    <n v="3372"/>
    <x v="140"/>
    <x v="1"/>
    <d v="2024-07-16T00:00:00"/>
    <x v="0"/>
    <n v="5"/>
    <x v="1"/>
    <s v="No"/>
    <s v="-"/>
    <s v="No"/>
    <n v="0"/>
    <n v="0"/>
    <n v="5"/>
  </r>
  <r>
    <n v="3373"/>
    <x v="141"/>
    <x v="0"/>
    <d v="2024-07-17T00:00:00"/>
    <x v="1"/>
    <n v="15"/>
    <x v="2"/>
    <s v="Yes"/>
    <n v="30"/>
    <s v="Yes"/>
    <n v="20"/>
    <n v="20"/>
    <n v="45"/>
  </r>
  <r>
    <n v="3374"/>
    <x v="142"/>
    <x v="2"/>
    <d v="2024-07-18T00:00:00"/>
    <x v="0"/>
    <n v="10"/>
    <x v="2"/>
    <s v="No"/>
    <s v="-"/>
    <s v="Yes"/>
    <n v="20"/>
    <n v="12"/>
    <n v="18"/>
  </r>
  <r>
    <n v="3375"/>
    <x v="143"/>
    <x v="1"/>
    <d v="2024-07-19T00:00:00"/>
    <x v="1"/>
    <n v="5"/>
    <x v="0"/>
    <s v="No"/>
    <s v="-"/>
    <s v="No"/>
    <n v="0"/>
    <n v="2"/>
    <n v="3"/>
  </r>
  <r>
    <n v="3376"/>
    <x v="144"/>
    <x v="0"/>
    <d v="2024-07-20T00:00:00"/>
    <x v="0"/>
    <n v="15"/>
    <x v="1"/>
    <s v="Yes"/>
    <n v="30"/>
    <s v="Yes"/>
    <n v="20"/>
    <n v="5"/>
    <n v="60"/>
  </r>
  <r>
    <n v="3377"/>
    <x v="145"/>
    <x v="2"/>
    <d v="2024-07-21T00:00:00"/>
    <x v="1"/>
    <n v="10"/>
    <x v="0"/>
    <s v="No"/>
    <s v="-"/>
    <s v="Yes"/>
    <n v="20"/>
    <n v="10"/>
    <n v="20"/>
  </r>
  <r>
    <n v="3378"/>
    <x v="146"/>
    <x v="1"/>
    <d v="2024-07-22T00:00:00"/>
    <x v="0"/>
    <n v="5"/>
    <x v="2"/>
    <s v="No"/>
    <s v="-"/>
    <s v="No"/>
    <n v="0"/>
    <n v="0"/>
    <n v="5"/>
  </r>
  <r>
    <n v="3379"/>
    <x v="147"/>
    <x v="0"/>
    <d v="2024-07-23T00:00:00"/>
    <x v="1"/>
    <n v="15"/>
    <x v="0"/>
    <s v="Yes"/>
    <n v="30"/>
    <s v="Yes"/>
    <n v="20"/>
    <n v="3"/>
    <n v="62"/>
  </r>
  <r>
    <n v="3380"/>
    <x v="148"/>
    <x v="2"/>
    <d v="2024-07-24T00:00:00"/>
    <x v="0"/>
    <n v="10"/>
    <x v="1"/>
    <s v="No"/>
    <s v="-"/>
    <s v="Yes"/>
    <n v="20"/>
    <n v="15"/>
    <n v="15"/>
  </r>
  <r>
    <n v="3381"/>
    <x v="149"/>
    <x v="1"/>
    <d v="2024-07-25T00:00:00"/>
    <x v="1"/>
    <n v="5"/>
    <x v="0"/>
    <s v="No"/>
    <s v="-"/>
    <s v="No"/>
    <n v="0"/>
    <n v="1"/>
    <n v="4"/>
  </r>
  <r>
    <n v="3382"/>
    <x v="150"/>
    <x v="0"/>
    <d v="2024-07-26T00:00:00"/>
    <x v="0"/>
    <n v="15"/>
    <x v="2"/>
    <s v="Yes"/>
    <n v="30"/>
    <s v="Yes"/>
    <n v="20"/>
    <n v="7"/>
    <n v="58"/>
  </r>
  <r>
    <n v="3383"/>
    <x v="151"/>
    <x v="2"/>
    <d v="2024-07-27T00:00:00"/>
    <x v="1"/>
    <n v="10"/>
    <x v="0"/>
    <s v="No"/>
    <s v="-"/>
    <s v="Yes"/>
    <n v="20"/>
    <n v="10"/>
    <n v="20"/>
  </r>
  <r>
    <n v="3384"/>
    <x v="152"/>
    <x v="1"/>
    <d v="2024-07-28T00:00:00"/>
    <x v="0"/>
    <n v="5"/>
    <x v="1"/>
    <s v="No"/>
    <s v="-"/>
    <s v="No"/>
    <n v="0"/>
    <n v="0"/>
    <n v="5"/>
  </r>
  <r>
    <n v="3385"/>
    <x v="153"/>
    <x v="0"/>
    <d v="2024-07-29T00:00:00"/>
    <x v="1"/>
    <n v="15"/>
    <x v="0"/>
    <s v="Yes"/>
    <n v="30"/>
    <s v="Yes"/>
    <n v="20"/>
    <n v="20"/>
    <n v="45"/>
  </r>
  <r>
    <n v="3386"/>
    <x v="154"/>
    <x v="2"/>
    <d v="2024-07-30T00:00:00"/>
    <x v="0"/>
    <n v="10"/>
    <x v="2"/>
    <s v="No"/>
    <s v="-"/>
    <s v="Yes"/>
    <n v="20"/>
    <n v="15"/>
    <n v="15"/>
  </r>
  <r>
    <n v="3387"/>
    <x v="155"/>
    <x v="1"/>
    <d v="2024-07-31T00:00:00"/>
    <x v="1"/>
    <n v="5"/>
    <x v="0"/>
    <s v="No"/>
    <s v="-"/>
    <s v="No"/>
    <n v="0"/>
    <n v="1"/>
    <n v="4"/>
  </r>
  <r>
    <n v="3388"/>
    <x v="156"/>
    <x v="0"/>
    <d v="2024-08-01T00:00:00"/>
    <x v="0"/>
    <n v="15"/>
    <x v="1"/>
    <s v="Yes"/>
    <n v="30"/>
    <s v="Yes"/>
    <n v="20"/>
    <n v="3"/>
    <n v="62"/>
  </r>
  <r>
    <n v="3389"/>
    <x v="157"/>
    <x v="2"/>
    <d v="2024-08-02T00:00:00"/>
    <x v="1"/>
    <n v="10"/>
    <x v="0"/>
    <s v="No"/>
    <s v="-"/>
    <s v="Yes"/>
    <n v="20"/>
    <n v="10"/>
    <n v="20"/>
  </r>
  <r>
    <n v="3390"/>
    <x v="158"/>
    <x v="1"/>
    <d v="2024-08-03T00:00:00"/>
    <x v="0"/>
    <n v="5"/>
    <x v="2"/>
    <s v="No"/>
    <s v="-"/>
    <s v="No"/>
    <n v="0"/>
    <n v="0"/>
    <n v="5"/>
  </r>
  <r>
    <n v="3391"/>
    <x v="58"/>
    <x v="0"/>
    <d v="2024-08-04T00:00:00"/>
    <x v="1"/>
    <n v="15"/>
    <x v="0"/>
    <s v="Yes"/>
    <n v="30"/>
    <s v="Yes"/>
    <n v="20"/>
    <n v="15"/>
    <n v="50"/>
  </r>
  <r>
    <n v="3392"/>
    <x v="159"/>
    <x v="2"/>
    <d v="2024-08-05T00:00:00"/>
    <x v="0"/>
    <n v="10"/>
    <x v="1"/>
    <s v="No"/>
    <s v="-"/>
    <s v="Yes"/>
    <n v="20"/>
    <n v="15"/>
    <n v="15"/>
  </r>
  <r>
    <n v="3393"/>
    <x v="160"/>
    <x v="1"/>
    <d v="2024-08-06T00:00:00"/>
    <x v="1"/>
    <n v="5"/>
    <x v="0"/>
    <s v="No"/>
    <s v="-"/>
    <s v="No"/>
    <n v="0"/>
    <n v="1"/>
    <n v="4"/>
  </r>
  <r>
    <n v="3394"/>
    <x v="161"/>
    <x v="0"/>
    <d v="2024-08-07T00:00:00"/>
    <x v="0"/>
    <n v="15"/>
    <x v="2"/>
    <s v="Yes"/>
    <n v="30"/>
    <s v="Yes"/>
    <n v="20"/>
    <n v="7"/>
    <n v="58"/>
  </r>
  <r>
    <n v="3395"/>
    <x v="162"/>
    <x v="2"/>
    <d v="2024-08-08T00:00:00"/>
    <x v="1"/>
    <n v="10"/>
    <x v="0"/>
    <s v="No"/>
    <s v="-"/>
    <s v="Yes"/>
    <n v="20"/>
    <n v="10"/>
    <n v="20"/>
  </r>
  <r>
    <n v="3396"/>
    <x v="163"/>
    <x v="1"/>
    <d v="2024-08-09T00:00:00"/>
    <x v="0"/>
    <n v="5"/>
    <x v="1"/>
    <s v="No"/>
    <s v="-"/>
    <s v="No"/>
    <n v="0"/>
    <n v="0"/>
    <n v="5"/>
  </r>
  <r>
    <n v="3397"/>
    <x v="90"/>
    <x v="0"/>
    <d v="2024-08-10T00:00:00"/>
    <x v="1"/>
    <n v="15"/>
    <x v="0"/>
    <s v="Yes"/>
    <n v="30"/>
    <s v="Yes"/>
    <n v="20"/>
    <n v="20"/>
    <n v="45"/>
  </r>
  <r>
    <n v="3398"/>
    <x v="164"/>
    <x v="2"/>
    <d v="2024-08-11T00:00:00"/>
    <x v="0"/>
    <n v="10"/>
    <x v="2"/>
    <s v="No"/>
    <s v="-"/>
    <s v="Yes"/>
    <n v="20"/>
    <n v="15"/>
    <n v="15"/>
  </r>
  <r>
    <n v="3399"/>
    <x v="165"/>
    <x v="1"/>
    <d v="2024-08-12T00:00:00"/>
    <x v="1"/>
    <n v="5"/>
    <x v="0"/>
    <s v="No"/>
    <s v="-"/>
    <s v="No"/>
    <n v="0"/>
    <n v="1"/>
    <n v="4"/>
  </r>
  <r>
    <n v="3400"/>
    <x v="166"/>
    <x v="0"/>
    <d v="2024-08-13T00:00:00"/>
    <x v="0"/>
    <n v="15"/>
    <x v="1"/>
    <s v="Yes"/>
    <n v="30"/>
    <s v="Yes"/>
    <n v="20"/>
    <n v="5"/>
    <n v="60"/>
  </r>
  <r>
    <n v="3401"/>
    <x v="167"/>
    <x v="2"/>
    <d v="2024-08-14T00:00:00"/>
    <x v="1"/>
    <n v="10"/>
    <x v="0"/>
    <s v="No"/>
    <s v="-"/>
    <s v="Yes"/>
    <n v="20"/>
    <n v="10"/>
    <n v="20"/>
  </r>
  <r>
    <n v="3402"/>
    <x v="168"/>
    <x v="1"/>
    <d v="2024-08-15T00:00:00"/>
    <x v="0"/>
    <n v="5"/>
    <x v="2"/>
    <s v="No"/>
    <s v="-"/>
    <s v="No"/>
    <n v="0"/>
    <n v="0"/>
    <n v="5"/>
  </r>
  <r>
    <n v="3403"/>
    <x v="169"/>
    <x v="0"/>
    <d v="2024-08-16T00:00:00"/>
    <x v="1"/>
    <n v="15"/>
    <x v="0"/>
    <s v="Yes"/>
    <n v="30"/>
    <s v="Yes"/>
    <n v="20"/>
    <n v="3"/>
    <n v="62"/>
  </r>
  <r>
    <n v="3404"/>
    <x v="170"/>
    <x v="2"/>
    <d v="2024-08-17T00:00:00"/>
    <x v="0"/>
    <n v="10"/>
    <x v="1"/>
    <s v="No"/>
    <s v="-"/>
    <s v="Yes"/>
    <n v="20"/>
    <n v="15"/>
    <n v="15"/>
  </r>
  <r>
    <n v="3405"/>
    <x v="171"/>
    <x v="1"/>
    <d v="2024-08-18T00:00:00"/>
    <x v="1"/>
    <n v="5"/>
    <x v="0"/>
    <s v="No"/>
    <s v="-"/>
    <s v="No"/>
    <n v="0"/>
    <n v="1"/>
    <n v="4"/>
  </r>
  <r>
    <n v="3406"/>
    <x v="172"/>
    <x v="1"/>
    <d v="2024-08-19T00:00:00"/>
    <x v="0"/>
    <n v="5"/>
    <x v="0"/>
    <s v="No"/>
    <s v="-"/>
    <s v="No"/>
    <n v="0"/>
    <n v="0"/>
    <n v="5"/>
  </r>
  <r>
    <n v="3407"/>
    <x v="173"/>
    <x v="0"/>
    <d v="2024-08-20T00:00:00"/>
    <x v="1"/>
    <n v="15"/>
    <x v="2"/>
    <s v="Yes"/>
    <n v="30"/>
    <s v="Yes"/>
    <n v="20"/>
    <n v="7"/>
    <n v="58"/>
  </r>
  <r>
    <n v="3408"/>
    <x v="174"/>
    <x v="2"/>
    <d v="2024-08-21T00:00:00"/>
    <x v="0"/>
    <n v="10"/>
    <x v="1"/>
    <s v="No"/>
    <s v="-"/>
    <s v="Yes"/>
    <n v="20"/>
    <n v="10"/>
    <n v="20"/>
  </r>
  <r>
    <n v="3409"/>
    <x v="175"/>
    <x v="1"/>
    <d v="2024-08-22T00:00:00"/>
    <x v="1"/>
    <n v="5"/>
    <x v="2"/>
    <s v="No"/>
    <s v="-"/>
    <s v="No"/>
    <n v="0"/>
    <n v="1"/>
    <n v="4"/>
  </r>
  <r>
    <n v="3410"/>
    <x v="176"/>
    <x v="0"/>
    <d v="2024-08-23T00:00:00"/>
    <x v="0"/>
    <n v="15"/>
    <x v="0"/>
    <s v="Yes"/>
    <n v="30"/>
    <s v="Yes"/>
    <n v="20"/>
    <n v="15"/>
    <n v="50"/>
  </r>
  <r>
    <n v="3411"/>
    <x v="177"/>
    <x v="2"/>
    <d v="2024-08-24T00:00:00"/>
    <x v="1"/>
    <n v="10"/>
    <x v="0"/>
    <s v="No"/>
    <s v="-"/>
    <s v="Yes"/>
    <n v="20"/>
    <n v="5"/>
    <n v="25"/>
  </r>
  <r>
    <n v="3412"/>
    <x v="178"/>
    <x v="1"/>
    <d v="2024-08-25T00:00:00"/>
    <x v="0"/>
    <n v="5"/>
    <x v="1"/>
    <s v="No"/>
    <s v="-"/>
    <s v="No"/>
    <n v="0"/>
    <n v="0"/>
    <n v="5"/>
  </r>
  <r>
    <n v="3413"/>
    <x v="179"/>
    <x v="0"/>
    <d v="2024-08-26T00:00:00"/>
    <x v="1"/>
    <n v="15"/>
    <x v="2"/>
    <s v="Yes"/>
    <n v="30"/>
    <s v="Yes"/>
    <n v="20"/>
    <n v="20"/>
    <n v="45"/>
  </r>
  <r>
    <n v="3414"/>
    <x v="180"/>
    <x v="2"/>
    <d v="2024-08-27T00:00:00"/>
    <x v="0"/>
    <n v="10"/>
    <x v="2"/>
    <s v="No"/>
    <s v="-"/>
    <s v="Yes"/>
    <n v="20"/>
    <n v="12"/>
    <n v="18"/>
  </r>
  <r>
    <n v="3415"/>
    <x v="181"/>
    <x v="1"/>
    <d v="2024-08-28T00:00:00"/>
    <x v="1"/>
    <n v="5"/>
    <x v="0"/>
    <s v="No"/>
    <s v="-"/>
    <s v="No"/>
    <n v="0"/>
    <n v="2"/>
    <n v="3"/>
  </r>
  <r>
    <n v="3416"/>
    <x v="182"/>
    <x v="0"/>
    <d v="2024-08-29T00:00:00"/>
    <x v="0"/>
    <n v="15"/>
    <x v="1"/>
    <s v="Yes"/>
    <n v="30"/>
    <s v="Yes"/>
    <n v="20"/>
    <n v="5"/>
    <n v="60"/>
  </r>
  <r>
    <n v="3417"/>
    <x v="183"/>
    <x v="2"/>
    <d v="2024-08-30T00:00:00"/>
    <x v="1"/>
    <n v="10"/>
    <x v="0"/>
    <s v="No"/>
    <s v="-"/>
    <s v="Yes"/>
    <n v="20"/>
    <n v="10"/>
    <n v="20"/>
  </r>
  <r>
    <n v="3418"/>
    <x v="184"/>
    <x v="1"/>
    <d v="2024-08-31T00:00:00"/>
    <x v="0"/>
    <n v="5"/>
    <x v="2"/>
    <s v="No"/>
    <s v="-"/>
    <s v="No"/>
    <n v="0"/>
    <n v="0"/>
    <n v="5"/>
  </r>
  <r>
    <n v="3419"/>
    <x v="185"/>
    <x v="0"/>
    <d v="2024-09-01T00:00:00"/>
    <x v="1"/>
    <n v="15"/>
    <x v="0"/>
    <s v="Yes"/>
    <n v="30"/>
    <s v="Yes"/>
    <n v="20"/>
    <n v="3"/>
    <n v="62"/>
  </r>
  <r>
    <n v="3420"/>
    <x v="186"/>
    <x v="2"/>
    <d v="2024-09-02T00:00:00"/>
    <x v="0"/>
    <n v="10"/>
    <x v="1"/>
    <s v="No"/>
    <s v="-"/>
    <s v="Yes"/>
    <n v="20"/>
    <n v="15"/>
    <n v="15"/>
  </r>
  <r>
    <n v="3421"/>
    <x v="15"/>
    <x v="1"/>
    <d v="2024-09-03T00:00:00"/>
    <x v="1"/>
    <n v="5"/>
    <x v="0"/>
    <s v="No"/>
    <s v="-"/>
    <s v="No"/>
    <n v="0"/>
    <n v="1"/>
    <n v="4"/>
  </r>
  <r>
    <n v="3422"/>
    <x v="187"/>
    <x v="0"/>
    <d v="2024-09-04T00:00:00"/>
    <x v="0"/>
    <n v="15"/>
    <x v="2"/>
    <s v="Yes"/>
    <n v="30"/>
    <s v="Yes"/>
    <n v="20"/>
    <n v="7"/>
    <n v="58"/>
  </r>
  <r>
    <n v="3423"/>
    <x v="188"/>
    <x v="2"/>
    <d v="2024-09-05T00:00:00"/>
    <x v="1"/>
    <n v="10"/>
    <x v="0"/>
    <s v="No"/>
    <s v="-"/>
    <s v="Yes"/>
    <n v="20"/>
    <n v="10"/>
    <n v="20"/>
  </r>
  <r>
    <n v="3424"/>
    <x v="14"/>
    <x v="1"/>
    <d v="2024-09-06T00:00:00"/>
    <x v="0"/>
    <n v="5"/>
    <x v="1"/>
    <s v="No"/>
    <s v="-"/>
    <s v="No"/>
    <n v="0"/>
    <n v="0"/>
    <n v="5"/>
  </r>
  <r>
    <n v="3425"/>
    <x v="189"/>
    <x v="0"/>
    <d v="2024-09-07T00:00:00"/>
    <x v="1"/>
    <n v="15"/>
    <x v="0"/>
    <s v="Yes"/>
    <n v="30"/>
    <s v="Yes"/>
    <n v="20"/>
    <n v="20"/>
    <n v="45"/>
  </r>
  <r>
    <n v="3426"/>
    <x v="167"/>
    <x v="2"/>
    <d v="2024-09-08T00:00:00"/>
    <x v="0"/>
    <n v="10"/>
    <x v="2"/>
    <s v="No"/>
    <s v="-"/>
    <s v="Yes"/>
    <n v="20"/>
    <n v="15"/>
    <n v="15"/>
  </r>
  <r>
    <n v="3427"/>
    <x v="190"/>
    <x v="1"/>
    <d v="2024-09-09T00:00:00"/>
    <x v="1"/>
    <n v="5"/>
    <x v="0"/>
    <s v="No"/>
    <s v="-"/>
    <s v="No"/>
    <n v="0"/>
    <n v="1"/>
    <n v="4"/>
  </r>
  <r>
    <n v="3428"/>
    <x v="191"/>
    <x v="0"/>
    <d v="2024-09-10T00:00:00"/>
    <x v="0"/>
    <n v="15"/>
    <x v="1"/>
    <s v="Yes"/>
    <n v="30"/>
    <s v="Yes"/>
    <n v="20"/>
    <n v="3"/>
    <n v="62"/>
  </r>
  <r>
    <n v="3429"/>
    <x v="192"/>
    <x v="2"/>
    <d v="2024-09-11T00:00:00"/>
    <x v="1"/>
    <n v="10"/>
    <x v="0"/>
    <s v="No"/>
    <s v="-"/>
    <s v="Yes"/>
    <n v="20"/>
    <n v="10"/>
    <n v="20"/>
  </r>
  <r>
    <n v="3430"/>
    <x v="193"/>
    <x v="1"/>
    <d v="2024-09-12T00:00:00"/>
    <x v="0"/>
    <n v="5"/>
    <x v="2"/>
    <s v="No"/>
    <s v="-"/>
    <s v="No"/>
    <n v="0"/>
    <n v="0"/>
    <n v="5"/>
  </r>
  <r>
    <n v="3431"/>
    <x v="194"/>
    <x v="0"/>
    <d v="2024-09-13T00:00:00"/>
    <x v="1"/>
    <n v="15"/>
    <x v="0"/>
    <s v="Yes"/>
    <n v="30"/>
    <s v="Yes"/>
    <n v="20"/>
    <n v="15"/>
    <n v="50"/>
  </r>
  <r>
    <n v="3432"/>
    <x v="195"/>
    <x v="2"/>
    <d v="2024-09-14T00:00:00"/>
    <x v="0"/>
    <n v="10"/>
    <x v="1"/>
    <s v="No"/>
    <s v="-"/>
    <s v="Yes"/>
    <n v="20"/>
    <n v="15"/>
    <n v="15"/>
  </r>
  <r>
    <n v="3433"/>
    <x v="196"/>
    <x v="1"/>
    <d v="2024-09-15T00:00:00"/>
    <x v="1"/>
    <n v="5"/>
    <x v="0"/>
    <s v="No"/>
    <s v="-"/>
    <s v="No"/>
    <n v="0"/>
    <n v="1"/>
    <n v="4"/>
  </r>
  <r>
    <n v="3434"/>
    <x v="197"/>
    <x v="0"/>
    <d v="2024-09-16T00:00:00"/>
    <x v="0"/>
    <n v="15"/>
    <x v="2"/>
    <s v="Yes"/>
    <n v="30"/>
    <s v="Yes"/>
    <n v="20"/>
    <n v="7"/>
    <n v="58"/>
  </r>
  <r>
    <n v="3435"/>
    <x v="198"/>
    <x v="2"/>
    <d v="2024-09-17T00:00:00"/>
    <x v="1"/>
    <n v="10"/>
    <x v="0"/>
    <s v="No"/>
    <s v="-"/>
    <s v="Yes"/>
    <n v="20"/>
    <n v="10"/>
    <n v="20"/>
  </r>
  <r>
    <n v="3436"/>
    <x v="199"/>
    <x v="1"/>
    <d v="2024-09-18T00:00:00"/>
    <x v="0"/>
    <n v="5"/>
    <x v="0"/>
    <s v="No"/>
    <s v="-"/>
    <s v="No"/>
    <n v="0"/>
    <n v="0"/>
    <n v="5"/>
  </r>
  <r>
    <n v="3437"/>
    <x v="200"/>
    <x v="0"/>
    <d v="2024-09-19T00:00:00"/>
    <x v="1"/>
    <n v="15"/>
    <x v="2"/>
    <s v="Yes"/>
    <n v="30"/>
    <s v="Yes"/>
    <n v="20"/>
    <n v="7"/>
    <n v="58"/>
  </r>
  <r>
    <n v="3438"/>
    <x v="201"/>
    <x v="2"/>
    <d v="2024-09-20T00:00:00"/>
    <x v="0"/>
    <n v="10"/>
    <x v="1"/>
    <s v="No"/>
    <s v="-"/>
    <s v="Yes"/>
    <n v="20"/>
    <n v="10"/>
    <n v="20"/>
  </r>
  <r>
    <n v="3439"/>
    <x v="202"/>
    <x v="1"/>
    <d v="2024-09-21T00:00:00"/>
    <x v="1"/>
    <n v="5"/>
    <x v="2"/>
    <s v="No"/>
    <s v="-"/>
    <s v="No"/>
    <n v="0"/>
    <n v="1"/>
    <n v="4"/>
  </r>
  <r>
    <n v="3440"/>
    <x v="203"/>
    <x v="0"/>
    <d v="2024-09-22T00:00:00"/>
    <x v="0"/>
    <n v="15"/>
    <x v="0"/>
    <s v="Yes"/>
    <n v="30"/>
    <s v="Yes"/>
    <n v="20"/>
    <n v="15"/>
    <n v="50"/>
  </r>
  <r>
    <n v="3441"/>
    <x v="204"/>
    <x v="2"/>
    <d v="2024-09-23T00:00:00"/>
    <x v="1"/>
    <n v="10"/>
    <x v="0"/>
    <s v="No"/>
    <s v="-"/>
    <s v="Yes"/>
    <n v="20"/>
    <n v="5"/>
    <n v="25"/>
  </r>
  <r>
    <n v="3442"/>
    <x v="205"/>
    <x v="1"/>
    <d v="2024-09-24T00:00:00"/>
    <x v="0"/>
    <n v="5"/>
    <x v="1"/>
    <s v="No"/>
    <s v="-"/>
    <s v="No"/>
    <n v="0"/>
    <n v="0"/>
    <n v="5"/>
  </r>
  <r>
    <n v="3443"/>
    <x v="206"/>
    <x v="0"/>
    <d v="2024-09-25T00:00:00"/>
    <x v="1"/>
    <n v="15"/>
    <x v="2"/>
    <s v="Yes"/>
    <n v="30"/>
    <s v="Yes"/>
    <n v="20"/>
    <n v="20"/>
    <n v="45"/>
  </r>
  <r>
    <n v="3444"/>
    <x v="207"/>
    <x v="2"/>
    <d v="2024-09-26T00:00:00"/>
    <x v="0"/>
    <n v="10"/>
    <x v="2"/>
    <s v="No"/>
    <s v="-"/>
    <s v="Yes"/>
    <n v="20"/>
    <n v="12"/>
    <n v="18"/>
  </r>
  <r>
    <n v="3445"/>
    <x v="37"/>
    <x v="1"/>
    <d v="2024-09-27T00:00:00"/>
    <x v="1"/>
    <n v="5"/>
    <x v="0"/>
    <s v="No"/>
    <s v="-"/>
    <s v="No"/>
    <n v="0"/>
    <n v="2"/>
    <n v="3"/>
  </r>
  <r>
    <n v="3446"/>
    <x v="208"/>
    <x v="0"/>
    <d v="2024-09-28T00:00:00"/>
    <x v="0"/>
    <n v="15"/>
    <x v="1"/>
    <s v="Yes"/>
    <n v="30"/>
    <s v="Yes"/>
    <n v="20"/>
    <n v="5"/>
    <n v="60"/>
  </r>
  <r>
    <n v="3447"/>
    <x v="209"/>
    <x v="2"/>
    <d v="2024-09-29T00:00:00"/>
    <x v="1"/>
    <n v="10"/>
    <x v="0"/>
    <s v="No"/>
    <s v="-"/>
    <s v="Yes"/>
    <n v="20"/>
    <n v="10"/>
    <n v="20"/>
  </r>
  <r>
    <n v="3448"/>
    <x v="210"/>
    <x v="1"/>
    <d v="2024-09-30T00:00:00"/>
    <x v="0"/>
    <n v="5"/>
    <x v="2"/>
    <s v="No"/>
    <s v="-"/>
    <s v="No"/>
    <n v="0"/>
    <n v="0"/>
    <n v="5"/>
  </r>
  <r>
    <n v="3449"/>
    <x v="211"/>
    <x v="0"/>
    <d v="2024-10-01T00:00:00"/>
    <x v="1"/>
    <n v="15"/>
    <x v="0"/>
    <s v="Yes"/>
    <n v="30"/>
    <s v="Yes"/>
    <n v="20"/>
    <n v="3"/>
    <n v="62"/>
  </r>
  <r>
    <n v="3450"/>
    <x v="212"/>
    <x v="2"/>
    <d v="2024-10-02T00:00:00"/>
    <x v="0"/>
    <n v="10"/>
    <x v="1"/>
    <s v="No"/>
    <s v="-"/>
    <s v="Yes"/>
    <n v="20"/>
    <n v="15"/>
    <n v="15"/>
  </r>
  <r>
    <n v="3451"/>
    <x v="213"/>
    <x v="1"/>
    <d v="2024-10-03T00:00:00"/>
    <x v="1"/>
    <n v="5"/>
    <x v="0"/>
    <s v="No"/>
    <s v="-"/>
    <s v="No"/>
    <n v="0"/>
    <n v="1"/>
    <n v="4"/>
  </r>
  <r>
    <n v="3452"/>
    <x v="191"/>
    <x v="0"/>
    <d v="2024-10-04T00:00:00"/>
    <x v="0"/>
    <n v="15"/>
    <x v="2"/>
    <s v="Yes"/>
    <n v="30"/>
    <s v="Yes"/>
    <n v="20"/>
    <n v="7"/>
    <n v="58"/>
  </r>
  <r>
    <n v="3453"/>
    <x v="45"/>
    <x v="2"/>
    <d v="2024-10-05T00:00:00"/>
    <x v="1"/>
    <n v="10"/>
    <x v="0"/>
    <s v="No"/>
    <s v="-"/>
    <s v="Yes"/>
    <n v="20"/>
    <n v="10"/>
    <n v="20"/>
  </r>
  <r>
    <n v="3454"/>
    <x v="214"/>
    <x v="1"/>
    <d v="2024-10-06T00:00:00"/>
    <x v="0"/>
    <n v="5"/>
    <x v="1"/>
    <s v="No"/>
    <s v="-"/>
    <s v="No"/>
    <n v="0"/>
    <n v="0"/>
    <n v="5"/>
  </r>
  <r>
    <n v="3455"/>
    <x v="215"/>
    <x v="0"/>
    <d v="2024-10-07T00:00:00"/>
    <x v="1"/>
    <n v="15"/>
    <x v="0"/>
    <s v="Yes"/>
    <n v="30"/>
    <s v="Yes"/>
    <n v="20"/>
    <n v="20"/>
    <n v="45"/>
  </r>
  <r>
    <n v="3456"/>
    <x v="216"/>
    <x v="2"/>
    <d v="2024-10-08T00:00:00"/>
    <x v="0"/>
    <n v="10"/>
    <x v="2"/>
    <s v="No"/>
    <s v="-"/>
    <s v="Yes"/>
    <n v="20"/>
    <n v="15"/>
    <n v="15"/>
  </r>
  <r>
    <n v="3457"/>
    <x v="217"/>
    <x v="1"/>
    <d v="2024-10-09T00:00:00"/>
    <x v="1"/>
    <n v="5"/>
    <x v="0"/>
    <s v="No"/>
    <s v="-"/>
    <s v="No"/>
    <n v="0"/>
    <n v="1"/>
    <n v="4"/>
  </r>
  <r>
    <n v="3458"/>
    <x v="218"/>
    <x v="0"/>
    <d v="2024-10-10T00:00:00"/>
    <x v="0"/>
    <n v="15"/>
    <x v="1"/>
    <s v="Yes"/>
    <n v="30"/>
    <s v="Yes"/>
    <n v="20"/>
    <n v="3"/>
    <n v="62"/>
  </r>
  <r>
    <n v="3459"/>
    <x v="219"/>
    <x v="2"/>
    <d v="2024-10-11T00:00:00"/>
    <x v="1"/>
    <n v="10"/>
    <x v="0"/>
    <s v="No"/>
    <s v="-"/>
    <s v="Yes"/>
    <n v="20"/>
    <n v="10"/>
    <n v="20"/>
  </r>
  <r>
    <n v="3460"/>
    <x v="127"/>
    <x v="1"/>
    <d v="2024-10-12T00:00:00"/>
    <x v="0"/>
    <n v="5"/>
    <x v="2"/>
    <s v="No"/>
    <s v="-"/>
    <s v="No"/>
    <n v="0"/>
    <n v="0"/>
    <n v="5"/>
  </r>
  <r>
    <n v="3461"/>
    <x v="220"/>
    <x v="0"/>
    <d v="2024-10-13T00:00:00"/>
    <x v="1"/>
    <n v="15"/>
    <x v="0"/>
    <s v="Yes"/>
    <n v="30"/>
    <s v="Yes"/>
    <n v="20"/>
    <n v="15"/>
    <n v="50"/>
  </r>
  <r>
    <n v="3462"/>
    <x v="221"/>
    <x v="2"/>
    <d v="2024-10-14T00:00:00"/>
    <x v="0"/>
    <n v="10"/>
    <x v="1"/>
    <s v="No"/>
    <s v="-"/>
    <s v="Yes"/>
    <n v="20"/>
    <n v="15"/>
    <n v="15"/>
  </r>
  <r>
    <n v="3463"/>
    <x v="222"/>
    <x v="1"/>
    <d v="2024-10-15T00:00:00"/>
    <x v="1"/>
    <n v="5"/>
    <x v="0"/>
    <s v="No"/>
    <s v="-"/>
    <s v="No"/>
    <n v="0"/>
    <n v="1"/>
    <n v="4"/>
  </r>
  <r>
    <n v="3464"/>
    <x v="223"/>
    <x v="0"/>
    <d v="2024-10-16T00:00:00"/>
    <x v="0"/>
    <n v="15"/>
    <x v="2"/>
    <s v="Yes"/>
    <n v="30"/>
    <s v="Yes"/>
    <n v="20"/>
    <n v="7"/>
    <n v="58"/>
  </r>
  <r>
    <n v="3465"/>
    <x v="224"/>
    <x v="2"/>
    <d v="2024-10-17T00:00:00"/>
    <x v="1"/>
    <n v="10"/>
    <x v="0"/>
    <s v="No"/>
    <s v="-"/>
    <s v="Yes"/>
    <n v="20"/>
    <n v="10"/>
    <n v="20"/>
  </r>
  <r>
    <n v="3466"/>
    <x v="225"/>
    <x v="1"/>
    <d v="2024-10-18T00:00:00"/>
    <x v="0"/>
    <n v="5"/>
    <x v="1"/>
    <s v="No"/>
    <s v="-"/>
    <s v="No"/>
    <n v="0"/>
    <n v="0"/>
    <n v="5"/>
  </r>
  <r>
    <n v="3467"/>
    <x v="226"/>
    <x v="0"/>
    <d v="2024-10-19T00:00:00"/>
    <x v="1"/>
    <n v="15"/>
    <x v="0"/>
    <s v="Yes"/>
    <n v="30"/>
    <s v="Yes"/>
    <n v="20"/>
    <n v="15"/>
    <n v="50"/>
  </r>
  <r>
    <n v="3468"/>
    <x v="227"/>
    <x v="2"/>
    <d v="2024-10-20T00:00:00"/>
    <x v="0"/>
    <n v="10"/>
    <x v="2"/>
    <s v="No"/>
    <s v="-"/>
    <s v="Yes"/>
    <n v="20"/>
    <n v="12"/>
    <n v="18"/>
  </r>
  <r>
    <n v="3469"/>
    <x v="228"/>
    <x v="1"/>
    <d v="2024-10-21T00:00:00"/>
    <x v="1"/>
    <n v="5"/>
    <x v="0"/>
    <s v="No"/>
    <s v="-"/>
    <s v="No"/>
    <n v="0"/>
    <n v="2"/>
    <n v="3"/>
  </r>
  <r>
    <n v="3470"/>
    <x v="229"/>
    <x v="0"/>
    <d v="2024-10-22T00:00:00"/>
    <x v="0"/>
    <n v="15"/>
    <x v="1"/>
    <s v="Yes"/>
    <n v="30"/>
    <s v="Yes"/>
    <n v="20"/>
    <n v="5"/>
    <n v="60"/>
  </r>
  <r>
    <n v="3471"/>
    <x v="230"/>
    <x v="2"/>
    <d v="2024-10-23T00:00:00"/>
    <x v="1"/>
    <n v="10"/>
    <x v="0"/>
    <s v="No"/>
    <s v="-"/>
    <s v="Yes"/>
    <n v="20"/>
    <n v="10"/>
    <n v="20"/>
  </r>
  <r>
    <n v="3472"/>
    <x v="231"/>
    <x v="1"/>
    <d v="2024-10-24T00:00:00"/>
    <x v="0"/>
    <n v="5"/>
    <x v="2"/>
    <s v="No"/>
    <s v="-"/>
    <s v="No"/>
    <n v="0"/>
    <n v="0"/>
    <n v="5"/>
  </r>
  <r>
    <n v="3473"/>
    <x v="140"/>
    <x v="0"/>
    <d v="2024-10-25T00:00:00"/>
    <x v="1"/>
    <n v="15"/>
    <x v="0"/>
    <s v="Yes"/>
    <n v="30"/>
    <s v="Yes"/>
    <n v="20"/>
    <n v="3"/>
    <n v="62"/>
  </r>
  <r>
    <n v="3474"/>
    <x v="232"/>
    <x v="2"/>
    <d v="2024-10-26T00:00:00"/>
    <x v="0"/>
    <n v="10"/>
    <x v="1"/>
    <s v="No"/>
    <s v="-"/>
    <s v="Yes"/>
    <n v="20"/>
    <n v="15"/>
    <n v="15"/>
  </r>
  <r>
    <n v="3475"/>
    <x v="233"/>
    <x v="1"/>
    <d v="2024-10-27T00:00:00"/>
    <x v="1"/>
    <n v="5"/>
    <x v="0"/>
    <s v="No"/>
    <s v="-"/>
    <s v="No"/>
    <n v="0"/>
    <n v="1"/>
    <n v="4"/>
  </r>
  <r>
    <n v="3476"/>
    <x v="234"/>
    <x v="0"/>
    <d v="2024-10-28T00:00:00"/>
    <x v="0"/>
    <n v="15"/>
    <x v="2"/>
    <s v="Yes"/>
    <n v="30"/>
    <s v="Yes"/>
    <n v="20"/>
    <n v="7"/>
    <n v="58"/>
  </r>
  <r>
    <n v="3477"/>
    <x v="235"/>
    <x v="2"/>
    <d v="2024-10-29T00:00:00"/>
    <x v="1"/>
    <n v="10"/>
    <x v="0"/>
    <s v="No"/>
    <s v="-"/>
    <s v="Yes"/>
    <n v="20"/>
    <n v="10"/>
    <n v="20"/>
  </r>
  <r>
    <n v="3478"/>
    <x v="236"/>
    <x v="1"/>
    <d v="2024-10-30T00:00:00"/>
    <x v="0"/>
    <n v="5"/>
    <x v="1"/>
    <s v="No"/>
    <s v="-"/>
    <s v="No"/>
    <n v="0"/>
    <n v="0"/>
    <n v="5"/>
  </r>
  <r>
    <n v="3479"/>
    <x v="237"/>
    <x v="0"/>
    <d v="2024-10-31T00:00:00"/>
    <x v="1"/>
    <n v="15"/>
    <x v="0"/>
    <s v="Yes"/>
    <n v="30"/>
    <s v="Yes"/>
    <n v="20"/>
    <n v="20"/>
    <n v="45"/>
  </r>
  <r>
    <n v="3480"/>
    <x v="238"/>
    <x v="2"/>
    <d v="2024-11-01T00:00:00"/>
    <x v="0"/>
    <n v="10"/>
    <x v="2"/>
    <s v="No"/>
    <s v="-"/>
    <s v="Yes"/>
    <n v="20"/>
    <n v="15"/>
    <n v="15"/>
  </r>
  <r>
    <n v="3481"/>
    <x v="239"/>
    <x v="1"/>
    <d v="2024-11-02T00:00:00"/>
    <x v="1"/>
    <n v="5"/>
    <x v="0"/>
    <s v="No"/>
    <s v="-"/>
    <s v="No"/>
    <n v="0"/>
    <n v="1"/>
    <n v="4"/>
  </r>
  <r>
    <n v="3482"/>
    <x v="240"/>
    <x v="0"/>
    <d v="2024-11-03T00:00:00"/>
    <x v="0"/>
    <n v="15"/>
    <x v="1"/>
    <s v="Yes"/>
    <n v="30"/>
    <s v="Yes"/>
    <n v="20"/>
    <n v="3"/>
    <n v="62"/>
  </r>
  <r>
    <n v="3483"/>
    <x v="241"/>
    <x v="2"/>
    <d v="2024-11-04T00:00:00"/>
    <x v="1"/>
    <n v="10"/>
    <x v="0"/>
    <s v="No"/>
    <s v="-"/>
    <s v="Yes"/>
    <n v="20"/>
    <n v="10"/>
    <n v="20"/>
  </r>
  <r>
    <n v="3484"/>
    <x v="242"/>
    <x v="1"/>
    <d v="2024-11-05T00:00:00"/>
    <x v="0"/>
    <n v="5"/>
    <x v="2"/>
    <s v="No"/>
    <s v="-"/>
    <s v="No"/>
    <n v="0"/>
    <n v="0"/>
    <n v="5"/>
  </r>
  <r>
    <n v="3485"/>
    <x v="243"/>
    <x v="0"/>
    <d v="2024-11-06T00:00:00"/>
    <x v="1"/>
    <n v="15"/>
    <x v="0"/>
    <s v="Yes"/>
    <n v="30"/>
    <s v="Yes"/>
    <n v="20"/>
    <n v="15"/>
    <n v="50"/>
  </r>
  <r>
    <n v="3486"/>
    <x v="244"/>
    <x v="1"/>
    <d v="2024-11-07T00:00:00"/>
    <x v="0"/>
    <n v="5"/>
    <x v="0"/>
    <s v="No"/>
    <s v="-"/>
    <s v="No"/>
    <n v="0"/>
    <n v="0"/>
    <n v="5"/>
  </r>
  <r>
    <n v="3487"/>
    <x v="245"/>
    <x v="0"/>
    <d v="2024-11-08T00:00:00"/>
    <x v="1"/>
    <n v="15"/>
    <x v="2"/>
    <s v="Yes"/>
    <n v="30"/>
    <s v="Yes"/>
    <n v="20"/>
    <n v="7"/>
    <n v="58"/>
  </r>
  <r>
    <n v="3488"/>
    <x v="246"/>
    <x v="2"/>
    <d v="2024-11-09T00:00:00"/>
    <x v="0"/>
    <n v="10"/>
    <x v="1"/>
    <s v="No"/>
    <s v="-"/>
    <s v="Yes"/>
    <n v="20"/>
    <n v="10"/>
    <n v="20"/>
  </r>
  <r>
    <n v="3489"/>
    <x v="247"/>
    <x v="1"/>
    <d v="2024-11-10T00:00:00"/>
    <x v="1"/>
    <n v="5"/>
    <x v="2"/>
    <s v="No"/>
    <s v="-"/>
    <s v="No"/>
    <n v="0"/>
    <n v="1"/>
    <n v="4"/>
  </r>
  <r>
    <n v="3490"/>
    <x v="248"/>
    <x v="0"/>
    <d v="2024-11-11T00:00:00"/>
    <x v="0"/>
    <n v="15"/>
    <x v="0"/>
    <s v="Yes"/>
    <n v="30"/>
    <s v="Yes"/>
    <n v="20"/>
    <n v="15"/>
    <n v="50"/>
  </r>
  <r>
    <n v="3491"/>
    <x v="249"/>
    <x v="2"/>
    <d v="2024-11-12T00:00:00"/>
    <x v="1"/>
    <n v="10"/>
    <x v="0"/>
    <s v="No"/>
    <s v="-"/>
    <s v="Yes"/>
    <n v="20"/>
    <n v="5"/>
    <n v="25"/>
  </r>
  <r>
    <n v="3492"/>
    <x v="250"/>
    <x v="1"/>
    <d v="2024-11-13T00:00:00"/>
    <x v="0"/>
    <n v="5"/>
    <x v="1"/>
    <s v="No"/>
    <s v="-"/>
    <s v="No"/>
    <n v="0"/>
    <n v="0"/>
    <n v="5"/>
  </r>
  <r>
    <n v="3493"/>
    <x v="251"/>
    <x v="0"/>
    <d v="2024-11-14T00:00:00"/>
    <x v="1"/>
    <n v="15"/>
    <x v="2"/>
    <s v="Yes"/>
    <n v="30"/>
    <s v="Yes"/>
    <n v="20"/>
    <n v="20"/>
    <n v="45"/>
  </r>
  <r>
    <n v="3494"/>
    <x v="252"/>
    <x v="2"/>
    <d v="2024-11-15T00:00:00"/>
    <x v="0"/>
    <n v="10"/>
    <x v="2"/>
    <s v="No"/>
    <s v="-"/>
    <s v="Yes"/>
    <n v="20"/>
    <n v="12"/>
    <n v="18"/>
  </r>
  <r>
    <n v="3495"/>
    <x v="253"/>
    <x v="1"/>
    <d v="2024-11-16T00:00:00"/>
    <x v="1"/>
    <n v="5"/>
    <x v="0"/>
    <s v="No"/>
    <s v="-"/>
    <s v="No"/>
    <n v="0"/>
    <n v="2"/>
    <n v="3"/>
  </r>
  <r>
    <n v="3496"/>
    <x v="254"/>
    <x v="0"/>
    <d v="2024-11-17T00:00:00"/>
    <x v="0"/>
    <n v="15"/>
    <x v="1"/>
    <s v="Yes"/>
    <n v="30"/>
    <s v="Yes"/>
    <n v="20"/>
    <n v="5"/>
    <n v="60"/>
  </r>
  <r>
    <n v="3497"/>
    <x v="255"/>
    <x v="2"/>
    <d v="2024-11-18T00:00:00"/>
    <x v="1"/>
    <n v="10"/>
    <x v="0"/>
    <s v="No"/>
    <s v="-"/>
    <s v="Yes"/>
    <n v="20"/>
    <n v="10"/>
    <n v="20"/>
  </r>
  <r>
    <n v="3498"/>
    <x v="256"/>
    <x v="1"/>
    <d v="2024-11-19T00:00:00"/>
    <x v="0"/>
    <n v="5"/>
    <x v="2"/>
    <s v="No"/>
    <s v="-"/>
    <s v="No"/>
    <n v="0"/>
    <n v="0"/>
    <n v="5"/>
  </r>
  <r>
    <n v="3499"/>
    <x v="257"/>
    <x v="0"/>
    <d v="2024-11-20T00:00:00"/>
    <x v="1"/>
    <n v="15"/>
    <x v="0"/>
    <s v="Yes"/>
    <n v="30"/>
    <s v="Yes"/>
    <n v="20"/>
    <n v="3"/>
    <n v="62"/>
  </r>
  <r>
    <n v="3500"/>
    <x v="258"/>
    <x v="2"/>
    <d v="2024-11-21T00:00:00"/>
    <x v="0"/>
    <n v="10"/>
    <x v="1"/>
    <s v="No"/>
    <s v="-"/>
    <s v="Yes"/>
    <n v="20"/>
    <n v="15"/>
    <n v="15"/>
  </r>
  <r>
    <n v="3501"/>
    <x v="259"/>
    <x v="1"/>
    <d v="2024-11-22T00:00:00"/>
    <x v="1"/>
    <n v="5"/>
    <x v="0"/>
    <s v="No"/>
    <s v="-"/>
    <s v="No"/>
    <n v="0"/>
    <n v="1"/>
    <n v="4"/>
  </r>
  <r>
    <n v="3502"/>
    <x v="260"/>
    <x v="0"/>
    <d v="2024-11-23T00:00:00"/>
    <x v="0"/>
    <n v="15"/>
    <x v="2"/>
    <s v="Yes"/>
    <n v="30"/>
    <s v="Yes"/>
    <n v="20"/>
    <n v="7"/>
    <n v="58"/>
  </r>
  <r>
    <n v="3503"/>
    <x v="119"/>
    <x v="2"/>
    <d v="2024-11-24T00:00:00"/>
    <x v="1"/>
    <n v="10"/>
    <x v="0"/>
    <s v="No"/>
    <s v="-"/>
    <s v="Yes"/>
    <n v="20"/>
    <n v="10"/>
    <n v="20"/>
  </r>
  <r>
    <n v="3504"/>
    <x v="261"/>
    <x v="1"/>
    <d v="2024-11-25T00:00:00"/>
    <x v="0"/>
    <n v="5"/>
    <x v="1"/>
    <s v="No"/>
    <s v="-"/>
    <s v="No"/>
    <n v="0"/>
    <n v="0"/>
    <n v="5"/>
  </r>
  <r>
    <n v="3505"/>
    <x v="262"/>
    <x v="0"/>
    <d v="2024-11-26T00:00:00"/>
    <x v="1"/>
    <n v="15"/>
    <x v="0"/>
    <s v="Yes"/>
    <n v="30"/>
    <s v="Yes"/>
    <n v="20"/>
    <n v="20"/>
    <n v="45"/>
  </r>
  <r>
    <n v="3506"/>
    <x v="263"/>
    <x v="2"/>
    <d v="2024-11-27T00:00:00"/>
    <x v="0"/>
    <n v="10"/>
    <x v="2"/>
    <s v="No"/>
    <s v="-"/>
    <s v="Yes"/>
    <n v="20"/>
    <n v="15"/>
    <n v="15"/>
  </r>
  <r>
    <n v="3507"/>
    <x v="264"/>
    <x v="1"/>
    <d v="2024-11-28T00:00:00"/>
    <x v="1"/>
    <n v="5"/>
    <x v="0"/>
    <s v="No"/>
    <s v="-"/>
    <s v="No"/>
    <n v="0"/>
    <n v="1"/>
    <n v="4"/>
  </r>
  <r>
    <n v="3508"/>
    <x v="265"/>
    <x v="0"/>
    <d v="2024-11-29T00:00:00"/>
    <x v="0"/>
    <n v="15"/>
    <x v="1"/>
    <s v="Yes"/>
    <n v="30"/>
    <s v="Yes"/>
    <n v="20"/>
    <n v="3"/>
    <n v="62"/>
  </r>
  <r>
    <n v="3509"/>
    <x v="266"/>
    <x v="2"/>
    <d v="2024-11-30T00:00:00"/>
    <x v="1"/>
    <n v="10"/>
    <x v="0"/>
    <s v="No"/>
    <s v="-"/>
    <s v="Yes"/>
    <n v="20"/>
    <n v="10"/>
    <n v="20"/>
  </r>
  <r>
    <n v="3510"/>
    <x v="267"/>
    <x v="1"/>
    <d v="2024-12-01T00:00:00"/>
    <x v="0"/>
    <n v="5"/>
    <x v="2"/>
    <s v="No"/>
    <s v="-"/>
    <s v="No"/>
    <n v="0"/>
    <n v="0"/>
    <n v="5"/>
  </r>
  <r>
    <n v="3511"/>
    <x v="268"/>
    <x v="0"/>
    <d v="2024-12-02T00:00:00"/>
    <x v="1"/>
    <n v="15"/>
    <x v="0"/>
    <s v="Yes"/>
    <n v="30"/>
    <s v="Yes"/>
    <n v="20"/>
    <n v="15"/>
    <n v="50"/>
  </r>
  <r>
    <n v="3512"/>
    <x v="269"/>
    <x v="2"/>
    <d v="2024-12-03T00:00:00"/>
    <x v="0"/>
    <n v="10"/>
    <x v="1"/>
    <s v="No"/>
    <s v="-"/>
    <s v="Yes"/>
    <n v="20"/>
    <n v="15"/>
    <n v="15"/>
  </r>
  <r>
    <n v="3513"/>
    <x v="270"/>
    <x v="1"/>
    <d v="2024-12-04T00:00:00"/>
    <x v="1"/>
    <n v="5"/>
    <x v="0"/>
    <s v="No"/>
    <s v="-"/>
    <s v="No"/>
    <n v="0"/>
    <n v="1"/>
    <n v="4"/>
  </r>
  <r>
    <n v="3514"/>
    <x v="271"/>
    <x v="0"/>
    <d v="2024-12-05T00:00:00"/>
    <x v="0"/>
    <n v="15"/>
    <x v="2"/>
    <s v="Yes"/>
    <n v="30"/>
    <s v="Yes"/>
    <n v="20"/>
    <n v="7"/>
    <n v="58"/>
  </r>
  <r>
    <n v="3515"/>
    <x v="130"/>
    <x v="2"/>
    <d v="2024-12-06T00:00:00"/>
    <x v="1"/>
    <n v="10"/>
    <x v="0"/>
    <s v="No"/>
    <s v="-"/>
    <s v="Yes"/>
    <n v="20"/>
    <n v="10"/>
    <n v="20"/>
  </r>
  <r>
    <n v="3516"/>
    <x v="131"/>
    <x v="1"/>
    <d v="2024-12-07T00:00:00"/>
    <x v="0"/>
    <n v="5"/>
    <x v="1"/>
    <s v="No"/>
    <s v="-"/>
    <s v="No"/>
    <n v="0"/>
    <n v="0"/>
    <n v="5"/>
  </r>
  <r>
    <n v="3517"/>
    <x v="181"/>
    <x v="0"/>
    <d v="2024-12-08T00:00:00"/>
    <x v="1"/>
    <n v="15"/>
    <x v="0"/>
    <s v="Yes"/>
    <n v="30"/>
    <s v="Yes"/>
    <n v="20"/>
    <n v="20"/>
    <n v="45"/>
  </r>
  <r>
    <n v="3518"/>
    <x v="272"/>
    <x v="2"/>
    <d v="2024-12-09T00:00:00"/>
    <x v="0"/>
    <n v="10"/>
    <x v="2"/>
    <s v="No"/>
    <s v="-"/>
    <s v="Yes"/>
    <n v="20"/>
    <n v="12"/>
    <n v="18"/>
  </r>
  <r>
    <n v="3519"/>
    <x v="273"/>
    <x v="1"/>
    <d v="2024-12-10T00:00:00"/>
    <x v="1"/>
    <n v="5"/>
    <x v="0"/>
    <s v="No"/>
    <s v="-"/>
    <s v="No"/>
    <n v="0"/>
    <n v="2"/>
    <n v="3"/>
  </r>
  <r>
    <n v="3520"/>
    <x v="274"/>
    <x v="0"/>
    <d v="2024-12-11T00:00:00"/>
    <x v="0"/>
    <n v="15"/>
    <x v="1"/>
    <s v="Yes"/>
    <n v="30"/>
    <s v="Yes"/>
    <n v="20"/>
    <n v="5"/>
    <n v="60"/>
  </r>
  <r>
    <n v="3521"/>
    <x v="275"/>
    <x v="2"/>
    <d v="2024-12-12T00:00:00"/>
    <x v="1"/>
    <n v="10"/>
    <x v="0"/>
    <s v="No"/>
    <s v="-"/>
    <s v="Yes"/>
    <n v="20"/>
    <n v="10"/>
    <n v="20"/>
  </r>
  <r>
    <n v="3522"/>
    <x v="276"/>
    <x v="1"/>
    <d v="2024-12-13T00:00:00"/>
    <x v="0"/>
    <n v="5"/>
    <x v="2"/>
    <s v="No"/>
    <s v="-"/>
    <s v="No"/>
    <n v="0"/>
    <n v="0"/>
    <n v="5"/>
  </r>
  <r>
    <n v="3523"/>
    <x v="277"/>
    <x v="0"/>
    <d v="2024-12-14T00:00:00"/>
    <x v="1"/>
    <n v="15"/>
    <x v="0"/>
    <s v="Yes"/>
    <n v="30"/>
    <s v="Yes"/>
    <n v="20"/>
    <n v="3"/>
    <n v="62"/>
  </r>
  <r>
    <n v="3524"/>
    <x v="278"/>
    <x v="2"/>
    <d v="2024-12-15T00:00:00"/>
    <x v="0"/>
    <n v="10"/>
    <x v="1"/>
    <s v="No"/>
    <s v="-"/>
    <s v="Yes"/>
    <n v="20"/>
    <n v="15"/>
    <n v="15"/>
  </r>
  <r>
    <n v="3525"/>
    <x v="279"/>
    <x v="1"/>
    <d v="2024-12-16T00:00:00"/>
    <x v="1"/>
    <n v="5"/>
    <x v="0"/>
    <s v="No"/>
    <s v="-"/>
    <s v="No"/>
    <n v="0"/>
    <n v="1"/>
    <n v="4"/>
  </r>
  <r>
    <m/>
    <x v="280"/>
    <x v="3"/>
    <m/>
    <x v="2"/>
    <m/>
    <x v="3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06FF53-40DD-4359-B9EE-57DE0229EC7E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B38:C43" firstHeaderRow="1" firstDataRow="1" firstDataCol="1" rowPageCount="1" colPageCount="1"/>
  <pivotFields count="13">
    <pivotField showAll="0"/>
    <pivotField showAll="0">
      <items count="282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x="280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showAll="0">
      <items count="4">
        <item x="1"/>
        <item x="0"/>
        <item h="1" x="2"/>
        <item t="default"/>
      </items>
    </pivotField>
    <pivotField showAll="0"/>
    <pivotField axis="axisPage" multipleItemSelectionAllowed="1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164"/>
  </dataFields>
  <formats count="9">
    <format dxfId="352">
      <pivotArea outline="0" collapsedLevelsAreSubtotals="1" fieldPosition="0"/>
    </format>
    <format dxfId="353">
      <pivotArea dataOnly="0" labelOnly="1" outline="0" axis="axisValues" fieldPosition="0"/>
    </format>
    <format dxfId="354">
      <pivotArea type="all" dataOnly="0" outline="0" fieldPosition="0"/>
    </format>
    <format dxfId="355">
      <pivotArea outline="0" collapsedLevelsAreSubtotals="1" fieldPosition="0"/>
    </format>
    <format dxfId="356">
      <pivotArea field="6" type="button" dataOnly="0" labelOnly="1" outline="0" axis="axisPage" fieldPosition="0"/>
    </format>
    <format dxfId="357">
      <pivotArea dataOnly="0" labelOnly="1" grandRow="1" outline="0" fieldPosition="0"/>
    </format>
    <format dxfId="358">
      <pivotArea dataOnly="0" labelOnly="1" outline="0" axis="axisValues" fieldPosition="0"/>
    </format>
    <format dxfId="351">
      <pivotArea dataOnly="0" labelOnly="1" outline="0" fieldPosition="0">
        <references count="1">
          <reference field="6" count="0"/>
        </references>
      </pivotArea>
    </format>
    <format dxfId="350">
      <pivotArea outline="0" collapsedLevelsAreSubtotals="1" fieldPosition="0"/>
    </format>
  </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520B1C-CBC6-4898-ADD7-69B03B23ACE0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B25:C30" firstHeaderRow="1" firstDataRow="1" firstDataCol="1" rowPageCount="1" colPageCount="1"/>
  <pivotFields count="13">
    <pivotField showAll="0"/>
    <pivotField showAll="0">
      <items count="282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x="280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showAll="0">
      <items count="4">
        <item x="1"/>
        <item x="0"/>
        <item h="1" x="2"/>
        <item t="default"/>
      </items>
    </pivotField>
    <pivotField showAll="0"/>
    <pivotField axis="axisPage" multipleItemSelectionAllowed="1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formats count="8">
    <format dxfId="360">
      <pivotArea outline="0" collapsedLevelsAreSubtotals="1" fieldPosition="0"/>
    </format>
    <format dxfId="361">
      <pivotArea dataOnly="0" labelOnly="1" outline="0" axis="axisValues" fieldPosition="0"/>
    </format>
    <format dxfId="362">
      <pivotArea type="all" dataOnly="0" outline="0" fieldPosition="0"/>
    </format>
    <format dxfId="363">
      <pivotArea outline="0" collapsedLevelsAreSubtotals="1" fieldPosition="0"/>
    </format>
    <format dxfId="364">
      <pivotArea field="6" type="button" dataOnly="0" labelOnly="1" outline="0" axis="axisPage" fieldPosition="0"/>
    </format>
    <format dxfId="365">
      <pivotArea dataOnly="0" labelOnly="1" grandRow="1" outline="0" fieldPosition="0"/>
    </format>
    <format dxfId="366">
      <pivotArea dataOnly="0" labelOnly="1" outline="0" axis="axisValues" fieldPosition="0"/>
    </format>
    <format dxfId="359">
      <pivotArea outline="0" collapsedLevelsAreSubtotals="1" fieldPosition="0"/>
    </format>
  </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7207C1-7EF5-4F48-B325-722B30E7D1D8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B13:C16" firstHeaderRow="1" firstDataRow="1" firstDataCol="1" rowPageCount="1" colPageCount="1"/>
  <pivotFields count="13">
    <pivotField showAll="0"/>
    <pivotField showAll="0">
      <items count="282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x="280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/>
    <pivotField axis="axisRow" showAll="0">
      <items count="4">
        <item x="1"/>
        <item x="0"/>
        <item h="1" x="2"/>
        <item t="default"/>
      </items>
    </pivotField>
    <pivotField showAll="0"/>
    <pivotField axis="axisPage" multipleItemSelectionAllowed="1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164"/>
  </dataFields>
  <formats count="8">
    <format dxfId="376">
      <pivotArea outline="0" collapsedLevelsAreSubtotals="1" fieldPosition="0"/>
    </format>
    <format dxfId="375">
      <pivotArea dataOnly="0" labelOnly="1" outline="0" axis="axisValues" fieldPosition="0"/>
    </format>
    <format dxfId="374">
      <pivotArea type="all" dataOnly="0" outline="0" fieldPosition="0"/>
    </format>
    <format dxfId="373">
      <pivotArea outline="0" collapsedLevelsAreSubtotals="1" fieldPosition="0"/>
    </format>
    <format dxfId="372">
      <pivotArea field="6" type="button" dataOnly="0" labelOnly="1" outline="0" axis="axisPage" fieldPosition="0"/>
    </format>
    <format dxfId="371">
      <pivotArea dataOnly="0" labelOnly="1" fieldPosition="0">
        <references count="1">
          <reference field="6" count="0"/>
        </references>
      </pivotArea>
    </format>
    <format dxfId="370">
      <pivotArea dataOnly="0" labelOnly="1" grandRow="1" outline="0" fieldPosition="0"/>
    </format>
    <format dxfId="369">
      <pivotArea dataOnly="0" labelOnly="1" outline="0" axis="axisValues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6BC3F5FB-234C-4306-8B36-7E99A492464C}" sourceName="Subscription Type">
  <pivotTables>
    <pivotTable tabId="3" name="Tabela dinâmica1"/>
    <pivotTable tabId="3" name="Tabela dinâmica3"/>
    <pivotTable tabId="3" name="Tabela dinâmica4"/>
  </pivotTables>
  <data>
    <tabular pivotCacheId="1300773304">
      <items count="4">
        <i x="1" s="1"/>
        <i x="0" s="1"/>
        <i x="2" s="1"/>
        <i x="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F163D2A0-A40C-4235-9C04-5734BEFA74B5}" cache="SegmentaçãodeDados_Subscription_Type" caption="Subscription Type" style="Estilo de Segmentação de Dados 1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390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389"/>
    <tableColumn id="2" xr3:uid="{53DD39D0-2220-4121-9E9D-4EAA7E151C0F}" name="Name" dataDxfId="388"/>
    <tableColumn id="3" xr3:uid="{4F5FF271-4C57-4BE0-8F2C-F82C8551625C}" name="Plan" dataDxfId="387"/>
    <tableColumn id="4" xr3:uid="{8C17EB93-79B9-4E55-B8F7-BEB82F8253E9}" name="Start Date" dataDxfId="386"/>
    <tableColumn id="5" xr3:uid="{48CEDF9B-1689-482A-A828-5CCE7713264A}" name="Auto Renewal" dataDxfId="385"/>
    <tableColumn id="6" xr3:uid="{78B82374-9AA7-4E38-AE4F-78CDE6C83720}" name="Subscription Price" dataDxfId="384" dataCellStyle="Moeda"/>
    <tableColumn id="7" xr3:uid="{F2433F68-AF33-49D0-B1FB-19A396074EDE}" name="Subscription Type" dataDxfId="383"/>
    <tableColumn id="8" xr3:uid="{FD4D9C95-F6E5-4933-9068-A71FF7DF9343}" name="EA Play Season Pass" dataDxfId="382"/>
    <tableColumn id="13" xr3:uid="{978DD0D2-834E-4CE4-A39B-30976086932F}" name="EA Play Season Pass_x000a_Price" dataDxfId="381" dataCellStyle="Moeda"/>
    <tableColumn id="9" xr3:uid="{6E29F111-C395-4580-9DAD-3407D9E8B1A4}" name="Minecraft Season Pass" dataDxfId="380"/>
    <tableColumn id="10" xr3:uid="{EF544EAA-7F25-4FD5-A10E-8E62804DB9E3}" name="Minecraft Season Pass Price" dataDxfId="379" dataCellStyle="Moeda"/>
    <tableColumn id="11" xr3:uid="{7F6EB64A-1F07-4E48-9F0F-AC7D9DCD26F8}" name="Coupon Value" dataDxfId="378" dataCellStyle="Moeda"/>
    <tableColumn id="12" xr3:uid="{2B04ABC8-DE6F-426E-ADC0-D8AFC68CA58E}" name="Total Value" dataDxfId="377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T16" sqref="T1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T16" sqref="T1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4:H43"/>
  <sheetViews>
    <sheetView showGridLines="0" zoomScale="70" zoomScaleNormal="70" workbookViewId="0">
      <selection activeCell="T16" sqref="T16"/>
    </sheetView>
  </sheetViews>
  <sheetFormatPr defaultRowHeight="15" x14ac:dyDescent="0.25"/>
  <cols>
    <col min="1" max="1" width="35.140625" customWidth="1"/>
    <col min="2" max="2" width="24" bestFit="1" customWidth="1"/>
    <col min="3" max="3" width="46.28515625" bestFit="1" customWidth="1"/>
    <col min="4" max="4" width="27.7109375" customWidth="1"/>
    <col min="5" max="5" width="21" customWidth="1"/>
    <col min="6" max="7" width="35.140625" customWidth="1"/>
    <col min="8" max="8" width="5.42578125" customWidth="1"/>
    <col min="9" max="9" width="21.140625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4" spans="2:8" x14ac:dyDescent="0.25">
      <c r="B4" s="22" t="s">
        <v>313</v>
      </c>
      <c r="C4" s="22"/>
      <c r="D4" s="22"/>
      <c r="E4" s="13"/>
      <c r="F4" s="13"/>
      <c r="G4" s="14"/>
      <c r="H4" s="14"/>
    </row>
    <row r="5" spans="2:8" x14ac:dyDescent="0.25">
      <c r="B5" s="23" t="s">
        <v>317</v>
      </c>
      <c r="C5" s="23"/>
      <c r="D5" s="23"/>
      <c r="E5" s="23"/>
      <c r="F5" s="15"/>
      <c r="G5" s="16"/>
      <c r="H5" s="16"/>
    </row>
    <row r="6" spans="2:8" x14ac:dyDescent="0.25">
      <c r="B6" s="23" t="s">
        <v>318</v>
      </c>
      <c r="C6" s="23"/>
      <c r="D6" s="23"/>
      <c r="E6" s="23"/>
      <c r="F6" s="23"/>
      <c r="G6" s="23"/>
      <c r="H6" s="23"/>
    </row>
    <row r="7" spans="2:8" x14ac:dyDescent="0.25">
      <c r="B7" s="12"/>
      <c r="C7" s="12"/>
      <c r="D7" s="12"/>
      <c r="E7" s="12"/>
      <c r="F7" s="12"/>
    </row>
    <row r="8" spans="2:8" x14ac:dyDescent="0.25">
      <c r="D8" s="12"/>
      <c r="E8" s="12"/>
      <c r="F8" s="12"/>
    </row>
    <row r="9" spans="2:8" x14ac:dyDescent="0.25">
      <c r="D9" s="12"/>
    </row>
    <row r="11" spans="2:8" x14ac:dyDescent="0.25">
      <c r="B11" s="17" t="s">
        <v>16</v>
      </c>
      <c r="C11" s="12" t="s">
        <v>322</v>
      </c>
    </row>
    <row r="12" spans="2:8" x14ac:dyDescent="0.25">
      <c r="B12" s="12"/>
      <c r="C12" s="12"/>
      <c r="F12" s="12"/>
      <c r="G12" s="12"/>
    </row>
    <row r="13" spans="2:8" x14ac:dyDescent="0.25">
      <c r="B13" s="17" t="s">
        <v>314</v>
      </c>
      <c r="C13" s="18" t="s">
        <v>316</v>
      </c>
      <c r="G13" s="12"/>
    </row>
    <row r="14" spans="2:8" x14ac:dyDescent="0.25">
      <c r="B14" s="19" t="s">
        <v>23</v>
      </c>
      <c r="C14" s="18">
        <v>3847</v>
      </c>
      <c r="G14" s="12"/>
    </row>
    <row r="15" spans="2:8" x14ac:dyDescent="0.25">
      <c r="B15" s="19" t="s">
        <v>19</v>
      </c>
      <c r="C15" s="18">
        <v>3786</v>
      </c>
      <c r="G15" s="12"/>
    </row>
    <row r="16" spans="2:8" x14ac:dyDescent="0.25">
      <c r="B16" s="19" t="s">
        <v>315</v>
      </c>
      <c r="C16" s="18">
        <v>7633</v>
      </c>
      <c r="D16" s="12"/>
      <c r="G16" s="12"/>
    </row>
    <row r="17" spans="2:7" x14ac:dyDescent="0.25">
      <c r="D17" s="12"/>
      <c r="G17" s="12"/>
    </row>
    <row r="18" spans="2:7" x14ac:dyDescent="0.25">
      <c r="D18" s="12"/>
      <c r="G18" s="12"/>
    </row>
    <row r="19" spans="2:7" x14ac:dyDescent="0.25">
      <c r="D19" s="12"/>
      <c r="F19" s="12"/>
      <c r="G19" s="12"/>
    </row>
    <row r="20" spans="2:7" x14ac:dyDescent="0.25">
      <c r="B20" s="32" t="s">
        <v>323</v>
      </c>
      <c r="C20" s="32"/>
      <c r="D20" s="32"/>
      <c r="E20" s="32"/>
      <c r="F20" s="12"/>
      <c r="G20" s="12"/>
    </row>
    <row r="21" spans="2:7" x14ac:dyDescent="0.25">
      <c r="D21" s="12"/>
      <c r="F21" s="12"/>
      <c r="G21" s="12"/>
    </row>
    <row r="22" spans="2:7" x14ac:dyDescent="0.25">
      <c r="D22" s="12"/>
      <c r="F22" s="12"/>
      <c r="G22" s="12"/>
    </row>
    <row r="23" spans="2:7" x14ac:dyDescent="0.25">
      <c r="B23" s="17" t="s">
        <v>16</v>
      </c>
      <c r="C23" s="12" t="s">
        <v>322</v>
      </c>
      <c r="D23" s="12"/>
      <c r="F23" s="12"/>
      <c r="G23" s="12"/>
    </row>
    <row r="24" spans="2:7" x14ac:dyDescent="0.25">
      <c r="B24" s="12"/>
      <c r="C24" s="12"/>
      <c r="D24" s="12"/>
      <c r="E24" s="27">
        <f>GETPIVOTDATA("EA Play Season Pass
Price",$B$25)</f>
        <v>2940</v>
      </c>
      <c r="F24" s="12"/>
      <c r="G24" s="12"/>
    </row>
    <row r="25" spans="2:7" x14ac:dyDescent="0.25">
      <c r="B25" s="17" t="s">
        <v>314</v>
      </c>
      <c r="C25" s="18" t="s">
        <v>321</v>
      </c>
      <c r="F25" s="12"/>
      <c r="G25" s="12"/>
    </row>
    <row r="26" spans="2:7" x14ac:dyDescent="0.25">
      <c r="B26" s="19" t="s">
        <v>22</v>
      </c>
      <c r="C26" s="31">
        <v>0</v>
      </c>
      <c r="F26" s="12"/>
      <c r="G26" s="12"/>
    </row>
    <row r="27" spans="2:7" x14ac:dyDescent="0.25">
      <c r="B27" s="19" t="s">
        <v>26</v>
      </c>
      <c r="C27" s="31">
        <v>0</v>
      </c>
      <c r="F27" s="12"/>
      <c r="G27" s="12"/>
    </row>
    <row r="28" spans="2:7" x14ac:dyDescent="0.25">
      <c r="B28" s="19" t="s">
        <v>18</v>
      </c>
      <c r="C28" s="31">
        <v>2940</v>
      </c>
      <c r="F28" s="12"/>
      <c r="G28" s="12"/>
    </row>
    <row r="29" spans="2:7" x14ac:dyDescent="0.25">
      <c r="B29" s="19" t="s">
        <v>320</v>
      </c>
      <c r="C29" s="31"/>
      <c r="F29" s="12"/>
      <c r="G29" s="12"/>
    </row>
    <row r="30" spans="2:7" x14ac:dyDescent="0.25">
      <c r="B30" s="19" t="s">
        <v>315</v>
      </c>
      <c r="C30" s="31">
        <v>2940</v>
      </c>
      <c r="F30" s="12"/>
      <c r="G30" s="12"/>
    </row>
    <row r="31" spans="2:7" x14ac:dyDescent="0.25">
      <c r="F31" s="12"/>
      <c r="G31" s="12"/>
    </row>
    <row r="34" spans="2:5" x14ac:dyDescent="0.25">
      <c r="B34" s="33" t="s">
        <v>324</v>
      </c>
      <c r="C34" s="33"/>
      <c r="D34" s="33"/>
      <c r="E34" s="33"/>
    </row>
    <row r="36" spans="2:5" x14ac:dyDescent="0.25">
      <c r="B36" s="17" t="s">
        <v>16</v>
      </c>
      <c r="C36" s="18" t="s">
        <v>322</v>
      </c>
    </row>
    <row r="37" spans="2:5" x14ac:dyDescent="0.25">
      <c r="B37" s="12"/>
      <c r="C37" s="12"/>
    </row>
    <row r="38" spans="2:5" x14ac:dyDescent="0.25">
      <c r="B38" s="17" t="s">
        <v>314</v>
      </c>
      <c r="C38" s="18" t="s">
        <v>325</v>
      </c>
    </row>
    <row r="39" spans="2:5" x14ac:dyDescent="0.25">
      <c r="B39" s="19" t="s">
        <v>22</v>
      </c>
      <c r="C39" s="18">
        <v>0</v>
      </c>
      <c r="E39" s="27">
        <f>GETPIVOTDATA("Minecraft Season Pass Price",$B$38)</f>
        <v>3880</v>
      </c>
    </row>
    <row r="40" spans="2:5" x14ac:dyDescent="0.25">
      <c r="B40" s="19" t="s">
        <v>26</v>
      </c>
      <c r="C40" s="18">
        <v>1920</v>
      </c>
    </row>
    <row r="41" spans="2:5" x14ac:dyDescent="0.25">
      <c r="B41" s="19" t="s">
        <v>18</v>
      </c>
      <c r="C41" s="18">
        <v>1960</v>
      </c>
    </row>
    <row r="42" spans="2:5" x14ac:dyDescent="0.25">
      <c r="B42" s="19" t="s">
        <v>320</v>
      </c>
      <c r="C42" s="18"/>
    </row>
    <row r="43" spans="2:5" x14ac:dyDescent="0.25">
      <c r="B43" s="19" t="s">
        <v>315</v>
      </c>
      <c r="C43" s="18">
        <v>3880</v>
      </c>
    </row>
  </sheetData>
  <mergeCells count="5">
    <mergeCell ref="B4:D4"/>
    <mergeCell ref="B5:E5"/>
    <mergeCell ref="B6:H6"/>
    <mergeCell ref="B20:E20"/>
    <mergeCell ref="B34:E34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AC24"/>
  <sheetViews>
    <sheetView showGridLines="0" showRowColHeaders="0" tabSelected="1" zoomScaleNormal="100" workbookViewId="0">
      <selection activeCell="R18" sqref="R18"/>
    </sheetView>
  </sheetViews>
  <sheetFormatPr defaultColWidth="0" defaultRowHeight="15" x14ac:dyDescent="0.25"/>
  <cols>
    <col min="1" max="1" width="39.7109375" style="4" customWidth="1"/>
    <col min="2" max="2" width="23.28515625" style="25" bestFit="1" customWidth="1"/>
    <col min="3" max="3" width="25.85546875" style="25" bestFit="1" customWidth="1"/>
    <col min="4" max="9" width="9.140625" style="25" customWidth="1"/>
    <col min="10" max="10" width="23.28515625" style="25" bestFit="1" customWidth="1"/>
    <col min="11" max="11" width="25.85546875" style="25" bestFit="1" customWidth="1"/>
    <col min="12" max="12" width="6.5703125" style="25" customWidth="1"/>
    <col min="13" max="29" width="9.140625" style="25" customWidth="1"/>
    <col min="30" max="16384" width="9.140625" style="25" hidden="1"/>
  </cols>
  <sheetData>
    <row r="1" spans="1:29" s="4" customFormat="1" ht="15" customHeight="1" x14ac:dyDescent="0.25">
      <c r="A1" s="20"/>
      <c r="B1" s="30" t="s">
        <v>326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</row>
    <row r="2" spans="1:29" s="4" customFormat="1" x14ac:dyDescent="0.2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</row>
    <row r="3" spans="1:29" s="24" customFormat="1" x14ac:dyDescent="0.25">
      <c r="A3" s="4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</row>
    <row r="10" spans="1:29" x14ac:dyDescent="0.25">
      <c r="J10" s="25" t="s">
        <v>319</v>
      </c>
    </row>
    <row r="14" spans="1:29" x14ac:dyDescent="0.25">
      <c r="K14" s="28"/>
    </row>
    <row r="24" spans="28:28" x14ac:dyDescent="0.25">
      <c r="AB24" s="26"/>
    </row>
  </sheetData>
  <mergeCells count="1">
    <mergeCell ref="B1:AC3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A̳ssets</vt:lpstr>
      <vt:lpstr>B̳ases</vt:lpstr>
      <vt:lpstr>C̳álculos</vt:lpstr>
      <vt:lpstr>D̳ashboard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Fran Lima</cp:lastModifiedBy>
  <dcterms:created xsi:type="dcterms:W3CDTF">2024-12-19T13:13:10Z</dcterms:created>
  <dcterms:modified xsi:type="dcterms:W3CDTF">2026-01-18T15:20:48Z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